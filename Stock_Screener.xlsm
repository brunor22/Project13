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Desktop\NextEarnings\"/>
    </mc:Choice>
  </mc:AlternateContent>
  <xr:revisionPtr revIDLastSave="0" documentId="13_ncr:1_{B08D0735-C60C-470D-9054-79D2946351F3}" xr6:coauthVersionLast="47" xr6:coauthVersionMax="47" xr10:uidLastSave="{00000000-0000-0000-0000-000000000000}"/>
  <bookViews>
    <workbookView xWindow="38280" yWindow="-120" windowWidth="38640" windowHeight="21840" tabRatio="500" activeTab="1" xr2:uid="{00000000-000D-0000-FFFF-FFFF00000000}"/>
  </bookViews>
  <sheets>
    <sheet name="Weights" sheetId="1" r:id="rId1"/>
    <sheet name="Screener" sheetId="2" r:id="rId2"/>
    <sheet name="Instruction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4" i="2" l="1" a="1"/>
  <c r="R4" i="2" s="1"/>
  <c r="R5" i="2" a="1"/>
  <c r="R5" i="2" s="1"/>
  <c r="R6" i="2" a="1"/>
  <c r="R6" i="2" s="1"/>
  <c r="R7" i="2" a="1"/>
  <c r="R7" i="2" s="1"/>
  <c r="R8" i="2" a="1"/>
  <c r="R8" i="2" s="1"/>
  <c r="R9" i="2" a="1"/>
  <c r="R9" i="2" s="1"/>
  <c r="R10" i="2" a="1"/>
  <c r="R10" i="2" s="1"/>
  <c r="R11" i="2" a="1"/>
  <c r="R11" i="2" s="1"/>
  <c r="R12" i="2" a="1"/>
  <c r="R12" i="2" s="1"/>
  <c r="R13" i="2" a="1"/>
  <c r="R13" i="2" s="1"/>
  <c r="R14" i="2" a="1"/>
  <c r="R14" i="2" s="1"/>
  <c r="R15" i="2" a="1"/>
  <c r="R15" i="2" s="1"/>
  <c r="R16" i="2" a="1"/>
  <c r="R16" i="2" s="1"/>
  <c r="R17" i="2" a="1"/>
  <c r="R17" i="2" s="1"/>
  <c r="R18" i="2" a="1"/>
  <c r="R18" i="2" s="1"/>
  <c r="R19" i="2" a="1"/>
  <c r="R19" i="2" s="1"/>
  <c r="R20" i="2" a="1"/>
  <c r="R20" i="2" s="1"/>
  <c r="R21" i="2" a="1"/>
  <c r="R21" i="2" s="1"/>
  <c r="R22" i="2" a="1"/>
  <c r="R22" i="2" s="1"/>
  <c r="R23" i="2" a="1"/>
  <c r="R23" i="2" s="1"/>
  <c r="R24" i="2" a="1"/>
  <c r="R24" i="2" s="1"/>
  <c r="R25" i="2" a="1"/>
  <c r="R25" i="2" s="1"/>
  <c r="R26" i="2" a="1"/>
  <c r="R26" i="2" s="1"/>
  <c r="R27" i="2" a="1"/>
  <c r="R27" i="2" s="1"/>
  <c r="R28" i="2" a="1"/>
  <c r="R28" i="2" s="1"/>
  <c r="R29" i="2" a="1"/>
  <c r="R29" i="2" s="1"/>
  <c r="R30" i="2" a="1"/>
  <c r="R30" i="2" s="1"/>
  <c r="R31" i="2" a="1"/>
  <c r="R31" i="2" s="1"/>
  <c r="R32" i="2" a="1"/>
  <c r="R32" i="2" s="1"/>
  <c r="R33" i="2" a="1"/>
  <c r="R33" i="2" s="1"/>
  <c r="R34" i="2" a="1"/>
  <c r="R34" i="2" s="1"/>
  <c r="R35" i="2" a="1"/>
  <c r="R35" i="2" s="1"/>
  <c r="R36" i="2" a="1"/>
  <c r="R36" i="2" s="1"/>
  <c r="R37" i="2" a="1"/>
  <c r="R37" i="2" s="1"/>
  <c r="R38" i="2" a="1"/>
  <c r="R38" i="2" s="1"/>
  <c r="R39" i="2" a="1"/>
  <c r="R39" i="2" s="1"/>
  <c r="R40" i="2" a="1"/>
  <c r="R40" i="2" s="1"/>
  <c r="R41" i="2" a="1"/>
  <c r="R41" i="2" s="1"/>
  <c r="R42" i="2" a="1"/>
  <c r="R42" i="2" s="1"/>
  <c r="R43" i="2" a="1"/>
  <c r="R43" i="2" s="1"/>
  <c r="R44" i="2" a="1"/>
  <c r="R44" i="2" s="1"/>
  <c r="R45" i="2" a="1"/>
  <c r="R45" i="2" s="1"/>
  <c r="R46" i="2" a="1"/>
  <c r="R46" i="2" s="1"/>
  <c r="R47" i="2" a="1"/>
  <c r="R47" i="2" s="1"/>
  <c r="R48" i="2" a="1"/>
  <c r="R48" i="2" s="1"/>
  <c r="R49" i="2" a="1"/>
  <c r="R49" i="2" s="1"/>
  <c r="R50" i="2" a="1"/>
  <c r="R50" i="2" s="1"/>
  <c r="R51" i="2" a="1"/>
  <c r="R51" i="2" s="1"/>
  <c r="R52" i="2" a="1"/>
  <c r="R52" i="2" s="1"/>
  <c r="R53" i="2" a="1"/>
  <c r="R53" i="2" s="1"/>
  <c r="R54" i="2" a="1"/>
  <c r="R54" i="2" s="1"/>
  <c r="R55" i="2" a="1"/>
  <c r="R55" i="2" s="1"/>
  <c r="R56" i="2" a="1"/>
  <c r="R56" i="2" s="1"/>
  <c r="R57" i="2" a="1"/>
  <c r="R57" i="2" s="1"/>
  <c r="R58" i="2" a="1"/>
  <c r="R58" i="2" s="1"/>
  <c r="R59" i="2" a="1"/>
  <c r="R59" i="2" s="1"/>
  <c r="R60" i="2" a="1"/>
  <c r="R60" i="2" s="1"/>
  <c r="R61" i="2" a="1"/>
  <c r="R61" i="2" s="1"/>
  <c r="R62" i="2" a="1"/>
  <c r="R62" i="2" s="1"/>
  <c r="R63" i="2" a="1"/>
  <c r="R63" i="2" s="1"/>
  <c r="AB63" i="2" s="1"/>
  <c r="R64" i="2" a="1"/>
  <c r="R64" i="2" s="1"/>
  <c r="AB64" i="2" s="1"/>
  <c r="R65" i="2" a="1"/>
  <c r="R65" i="2" s="1"/>
  <c r="R66" i="2" a="1"/>
  <c r="R66" i="2" s="1"/>
  <c r="R67" i="2" a="1"/>
  <c r="R67" i="2" s="1"/>
  <c r="R68" i="2" a="1"/>
  <c r="R68" i="2" s="1"/>
  <c r="R69" i="2" a="1"/>
  <c r="R69" i="2" s="1"/>
  <c r="R70" i="2" a="1"/>
  <c r="R70" i="2" s="1"/>
  <c r="R71" i="2" a="1"/>
  <c r="R71" i="2" s="1"/>
  <c r="R72" i="2" a="1"/>
  <c r="R72" i="2" s="1"/>
  <c r="R73" i="2" a="1"/>
  <c r="R73" i="2" s="1"/>
  <c r="R74" i="2" a="1"/>
  <c r="R74" i="2" s="1"/>
  <c r="R75" i="2" a="1"/>
  <c r="R75" i="2" s="1"/>
  <c r="T4" i="2" a="1"/>
  <c r="T4" i="2" s="1"/>
  <c r="U4" i="2" s="1"/>
  <c r="S5" i="2" a="1"/>
  <c r="S5" i="2" s="1"/>
  <c r="S6" i="2" a="1"/>
  <c r="S6" i="2" s="1"/>
  <c r="S7" i="2" a="1"/>
  <c r="S7" i="2" s="1"/>
  <c r="S8" i="2" a="1"/>
  <c r="S8" i="2" s="1"/>
  <c r="S9" i="2" a="1"/>
  <c r="S9" i="2" s="1"/>
  <c r="S10" i="2" a="1"/>
  <c r="S10" i="2" s="1"/>
  <c r="S11" i="2" a="1"/>
  <c r="S11" i="2" s="1"/>
  <c r="S12" i="2" a="1"/>
  <c r="S12" i="2" s="1"/>
  <c r="S13" i="2" a="1"/>
  <c r="S13" i="2" s="1"/>
  <c r="S14" i="2" a="1"/>
  <c r="S14" i="2" s="1"/>
  <c r="S15" i="2" a="1"/>
  <c r="S15" i="2" s="1"/>
  <c r="S16" i="2" a="1"/>
  <c r="S16" i="2" s="1"/>
  <c r="S17" i="2" a="1"/>
  <c r="S17" i="2" s="1"/>
  <c r="S18" i="2" a="1"/>
  <c r="S18" i="2" s="1"/>
  <c r="AB18" i="2" s="1"/>
  <c r="S19" i="2" a="1"/>
  <c r="S19" i="2" s="1"/>
  <c r="S20" i="2" a="1"/>
  <c r="S20" i="2" s="1"/>
  <c r="AB20" i="2" s="1"/>
  <c r="S21" i="2" a="1"/>
  <c r="S21" i="2" s="1"/>
  <c r="S22" i="2" a="1"/>
  <c r="S22" i="2" s="1"/>
  <c r="AB22" i="2" s="1"/>
  <c r="S23" i="2" a="1"/>
  <c r="S23" i="2" s="1"/>
  <c r="S24" i="2" a="1"/>
  <c r="S24" i="2" s="1"/>
  <c r="S25" i="2" a="1"/>
  <c r="S25" i="2" s="1"/>
  <c r="S26" i="2" a="1"/>
  <c r="S26" i="2" s="1"/>
  <c r="S27" i="2" a="1"/>
  <c r="S27" i="2" s="1"/>
  <c r="S28" i="2" a="1"/>
  <c r="S28" i="2" s="1"/>
  <c r="AB28" i="2" s="1"/>
  <c r="S29" i="2" a="1"/>
  <c r="S29" i="2" s="1"/>
  <c r="S30" i="2" a="1"/>
  <c r="S30" i="2" s="1"/>
  <c r="S31" i="2" a="1"/>
  <c r="S31" i="2" s="1"/>
  <c r="S32" i="2" a="1"/>
  <c r="S32" i="2" s="1"/>
  <c r="AB32" i="2" s="1"/>
  <c r="S33" i="2" a="1"/>
  <c r="S33" i="2" s="1"/>
  <c r="S34" i="2" a="1"/>
  <c r="S34" i="2" s="1"/>
  <c r="S35" i="2" a="1"/>
  <c r="S35" i="2" s="1"/>
  <c r="S36" i="2" a="1"/>
  <c r="S36" i="2" s="1"/>
  <c r="S37" i="2" a="1"/>
  <c r="S37" i="2" s="1"/>
  <c r="S38" i="2" a="1"/>
  <c r="S38" i="2" s="1"/>
  <c r="S39" i="2" a="1"/>
  <c r="S39" i="2" s="1"/>
  <c r="S40" i="2" a="1"/>
  <c r="S40" i="2" s="1"/>
  <c r="S41" i="2" a="1"/>
  <c r="S41" i="2" s="1"/>
  <c r="S42" i="2" a="1"/>
  <c r="S42" i="2" s="1"/>
  <c r="AB42" i="2" s="1"/>
  <c r="S43" i="2" a="1"/>
  <c r="S43" i="2" s="1"/>
  <c r="S44" i="2" a="1"/>
  <c r="S44" i="2" s="1"/>
  <c r="AB44" i="2" s="1"/>
  <c r="S45" i="2" a="1"/>
  <c r="S45" i="2" s="1"/>
  <c r="S46" i="2" a="1"/>
  <c r="S46" i="2" s="1"/>
  <c r="S47" i="2" a="1"/>
  <c r="S47" i="2" s="1"/>
  <c r="S48" i="2" a="1"/>
  <c r="S48" i="2" s="1"/>
  <c r="S49" i="2" a="1"/>
  <c r="S49" i="2" s="1"/>
  <c r="S50" i="2" a="1"/>
  <c r="S50" i="2" s="1"/>
  <c r="S51" i="2" a="1"/>
  <c r="S51" i="2" s="1"/>
  <c r="S52" i="2" a="1"/>
  <c r="S52" i="2" s="1"/>
  <c r="S53" i="2" a="1"/>
  <c r="S53" i="2" s="1"/>
  <c r="S54" i="2" a="1"/>
  <c r="S54" i="2" s="1"/>
  <c r="S55" i="2" a="1"/>
  <c r="S55" i="2" s="1"/>
  <c r="S56" i="2" a="1"/>
  <c r="S56" i="2" s="1"/>
  <c r="AB56" i="2" s="1"/>
  <c r="S57" i="2" a="1"/>
  <c r="S57" i="2" s="1"/>
  <c r="S58" i="2" a="1"/>
  <c r="S58" i="2" s="1"/>
  <c r="S59" i="2" a="1"/>
  <c r="S59" i="2" s="1"/>
  <c r="S60" i="2" a="1"/>
  <c r="S60" i="2" s="1"/>
  <c r="S61" i="2" a="1"/>
  <c r="S61" i="2" s="1"/>
  <c r="S62" i="2" a="1"/>
  <c r="S62" i="2" s="1"/>
  <c r="S63" i="2" a="1"/>
  <c r="S63" i="2" s="1"/>
  <c r="S64" i="2" a="1"/>
  <c r="S64" i="2" s="1"/>
  <c r="S65" i="2" a="1"/>
  <c r="S65" i="2" s="1"/>
  <c r="S66" i="2" a="1"/>
  <c r="S66" i="2" s="1"/>
  <c r="AB66" i="2" s="1"/>
  <c r="S67" i="2" a="1"/>
  <c r="S67" i="2" s="1"/>
  <c r="S68" i="2" a="1"/>
  <c r="S68" i="2" s="1"/>
  <c r="AB68" i="2" s="1"/>
  <c r="S69" i="2" a="1"/>
  <c r="S69" i="2" s="1"/>
  <c r="S70" i="2" a="1"/>
  <c r="S70" i="2" s="1"/>
  <c r="S71" i="2" a="1"/>
  <c r="S71" i="2" s="1"/>
  <c r="S72" i="2" a="1"/>
  <c r="S72" i="2" s="1"/>
  <c r="S73" i="2" a="1"/>
  <c r="S73" i="2" s="1"/>
  <c r="S74" i="2" a="1"/>
  <c r="S74" i="2" s="1"/>
  <c r="S75" i="2" a="1"/>
  <c r="S75" i="2" s="1"/>
  <c r="S4" i="2" a="1"/>
  <c r="S4" i="2" s="1"/>
  <c r="Q5" i="2" a="1"/>
  <c r="Q5" i="2" s="1"/>
  <c r="Q6" i="2" a="1"/>
  <c r="Q6" i="2" s="1"/>
  <c r="Q7" i="2" a="1"/>
  <c r="Q7" i="2" s="1"/>
  <c r="Q8" i="2" a="1"/>
  <c r="Q8" i="2" s="1"/>
  <c r="Q9" i="2" a="1"/>
  <c r="Q9" i="2" s="1"/>
  <c r="Q10" i="2" a="1"/>
  <c r="Q10" i="2" s="1"/>
  <c r="Q11" i="2" a="1"/>
  <c r="Q11" i="2" s="1"/>
  <c r="Q12" i="2" a="1"/>
  <c r="Q12" i="2" s="1"/>
  <c r="Q13" i="2" a="1"/>
  <c r="Q13" i="2" s="1"/>
  <c r="Q14" i="2" a="1"/>
  <c r="Q14" i="2" s="1"/>
  <c r="Q15" i="2" a="1"/>
  <c r="Q15" i="2" s="1"/>
  <c r="Q16" i="2" a="1"/>
  <c r="Q16" i="2" s="1"/>
  <c r="Q17" i="2" a="1"/>
  <c r="Q17" i="2" s="1"/>
  <c r="Q18" i="2" a="1"/>
  <c r="Q18" i="2" s="1"/>
  <c r="Q19" i="2" a="1"/>
  <c r="Q19" i="2" s="1"/>
  <c r="Q20" i="2" a="1"/>
  <c r="Q20" i="2" s="1"/>
  <c r="Q21" i="2" a="1"/>
  <c r="Q21" i="2" s="1"/>
  <c r="Q22" i="2" a="1"/>
  <c r="Q22" i="2" s="1"/>
  <c r="Q23" i="2" a="1"/>
  <c r="Q23" i="2" s="1"/>
  <c r="Q24" i="2" a="1"/>
  <c r="Q24" i="2" s="1"/>
  <c r="Q25" i="2" a="1"/>
  <c r="Q25" i="2" s="1"/>
  <c r="Q26" i="2" a="1"/>
  <c r="Q26" i="2" s="1"/>
  <c r="Q27" i="2" a="1"/>
  <c r="Q27" i="2" s="1"/>
  <c r="Q28" i="2" a="1"/>
  <c r="Q28" i="2" s="1"/>
  <c r="Q29" i="2" a="1"/>
  <c r="Q29" i="2" s="1"/>
  <c r="Q30" i="2" a="1"/>
  <c r="Q30" i="2" s="1"/>
  <c r="Q31" i="2" a="1"/>
  <c r="Q31" i="2" s="1"/>
  <c r="Q32" i="2" a="1"/>
  <c r="Q32" i="2" s="1"/>
  <c r="Q33" i="2" a="1"/>
  <c r="Q33" i="2" s="1"/>
  <c r="Q34" i="2" a="1"/>
  <c r="Q34" i="2" s="1"/>
  <c r="Q35" i="2" a="1"/>
  <c r="Q35" i="2" s="1"/>
  <c r="Q36" i="2" a="1"/>
  <c r="Q36" i="2" s="1"/>
  <c r="Q37" i="2" a="1"/>
  <c r="Q37" i="2" s="1"/>
  <c r="Q38" i="2" a="1"/>
  <c r="Q38" i="2" s="1"/>
  <c r="Q39" i="2" a="1"/>
  <c r="Q39" i="2" s="1"/>
  <c r="Q40" i="2" a="1"/>
  <c r="Q40" i="2" s="1"/>
  <c r="Q41" i="2" a="1"/>
  <c r="Q41" i="2" s="1"/>
  <c r="Q42" i="2" a="1"/>
  <c r="Q42" i="2" s="1"/>
  <c r="Q43" i="2" a="1"/>
  <c r="Q43" i="2" s="1"/>
  <c r="Q44" i="2" a="1"/>
  <c r="Q44" i="2" s="1"/>
  <c r="Q45" i="2" a="1"/>
  <c r="Q45" i="2" s="1"/>
  <c r="Q46" i="2" a="1"/>
  <c r="Q46" i="2" s="1"/>
  <c r="Q47" i="2" a="1"/>
  <c r="Q47" i="2" s="1"/>
  <c r="Q48" i="2" a="1"/>
  <c r="Q48" i="2" s="1"/>
  <c r="Q49" i="2" a="1"/>
  <c r="Q49" i="2" s="1"/>
  <c r="Q50" i="2" a="1"/>
  <c r="Q50" i="2" s="1"/>
  <c r="Q51" i="2" a="1"/>
  <c r="Q51" i="2" s="1"/>
  <c r="Q52" i="2" a="1"/>
  <c r="Q52" i="2" s="1"/>
  <c r="Q53" i="2" a="1"/>
  <c r="Q53" i="2" s="1"/>
  <c r="Q54" i="2" a="1"/>
  <c r="Q54" i="2" s="1"/>
  <c r="Q55" i="2" a="1"/>
  <c r="Q55" i="2" s="1"/>
  <c r="Q56" i="2" a="1"/>
  <c r="Q56" i="2" s="1"/>
  <c r="Q57" i="2" a="1"/>
  <c r="Q57" i="2" s="1"/>
  <c r="Q58" i="2" a="1"/>
  <c r="Q58" i="2" s="1"/>
  <c r="Q59" i="2" a="1"/>
  <c r="Q59" i="2" s="1"/>
  <c r="Q60" i="2" a="1"/>
  <c r="Q60" i="2" s="1"/>
  <c r="Q61" i="2" a="1"/>
  <c r="Q61" i="2" s="1"/>
  <c r="Q62" i="2" a="1"/>
  <c r="Q62" i="2" s="1"/>
  <c r="Q63" i="2" a="1"/>
  <c r="Q63" i="2" s="1"/>
  <c r="Q64" i="2" a="1"/>
  <c r="Q64" i="2" s="1"/>
  <c r="Q65" i="2" a="1"/>
  <c r="Q65" i="2" s="1"/>
  <c r="Q66" i="2" a="1"/>
  <c r="Q66" i="2" s="1"/>
  <c r="Q67" i="2" a="1"/>
  <c r="Q67" i="2" s="1"/>
  <c r="Q68" i="2" a="1"/>
  <c r="Q68" i="2" s="1"/>
  <c r="Q69" i="2" a="1"/>
  <c r="Q69" i="2" s="1"/>
  <c r="Q70" i="2" a="1"/>
  <c r="Q70" i="2" s="1"/>
  <c r="Q71" i="2" a="1"/>
  <c r="Q71" i="2" s="1"/>
  <c r="Q72" i="2" a="1"/>
  <c r="Q72" i="2" s="1"/>
  <c r="Q73" i="2" a="1"/>
  <c r="Q73" i="2" s="1"/>
  <c r="Q74" i="2" a="1"/>
  <c r="Q74" i="2" s="1"/>
  <c r="Q75" i="2" a="1"/>
  <c r="Q75" i="2" s="1"/>
  <c r="Q4" i="2" a="1"/>
  <c r="Q4" i="2" s="1"/>
  <c r="O5" i="2" a="1"/>
  <c r="O5" i="2" s="1"/>
  <c r="O6" i="2" a="1"/>
  <c r="O6" i="2" s="1"/>
  <c r="O7" i="2" a="1"/>
  <c r="O7" i="2" s="1"/>
  <c r="O8" i="2" a="1"/>
  <c r="O8" i="2" s="1"/>
  <c r="O9" i="2" a="1"/>
  <c r="O9" i="2" s="1"/>
  <c r="O10" i="2" a="1"/>
  <c r="O10" i="2" s="1"/>
  <c r="O11" i="2" a="1"/>
  <c r="O11" i="2" s="1"/>
  <c r="O12" i="2" a="1"/>
  <c r="O12" i="2" s="1"/>
  <c r="O13" i="2" a="1"/>
  <c r="O13" i="2" s="1"/>
  <c r="O14" i="2" a="1"/>
  <c r="O14" i="2" s="1"/>
  <c r="O15" i="2" a="1"/>
  <c r="O15" i="2" s="1"/>
  <c r="O16" i="2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46" i="2" a="1"/>
  <c r="O46" i="2" s="1"/>
  <c r="O47" i="2" a="1"/>
  <c r="O47" i="2" s="1"/>
  <c r="O48" i="2" a="1"/>
  <c r="O48" i="2" s="1"/>
  <c r="O49" i="2" a="1"/>
  <c r="O49" i="2" s="1"/>
  <c r="O50" i="2" a="1"/>
  <c r="O50" i="2" s="1"/>
  <c r="O51" i="2" a="1"/>
  <c r="O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71" i="2" a="1"/>
  <c r="O71" i="2" s="1"/>
  <c r="O72" i="2" a="1"/>
  <c r="O72" i="2" s="1"/>
  <c r="O73" i="2" a="1"/>
  <c r="O73" i="2" s="1"/>
  <c r="O74" i="2" a="1"/>
  <c r="O74" i="2" s="1"/>
  <c r="O75" i="2" a="1"/>
  <c r="O75" i="2" s="1"/>
  <c r="O4" i="2" a="1"/>
  <c r="O4" i="2" s="1"/>
  <c r="N4" i="2" a="1"/>
  <c r="N4" i="2" s="1"/>
  <c r="M4" i="2" a="1"/>
  <c r="M4" i="2" s="1"/>
  <c r="P4" i="2" s="1"/>
  <c r="L5" i="2" a="1"/>
  <c r="L5" i="2" s="1"/>
  <c r="L6" i="2" a="1"/>
  <c r="L6" i="2" s="1"/>
  <c r="L7" i="2" a="1"/>
  <c r="L7" i="2" s="1"/>
  <c r="L8" i="2" a="1"/>
  <c r="L8" i="2" s="1"/>
  <c r="L9" i="2" a="1"/>
  <c r="L9" i="2" s="1"/>
  <c r="L10" i="2" a="1"/>
  <c r="L10" i="2" s="1"/>
  <c r="L11" i="2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38" i="2" a="1"/>
  <c r="L38" i="2" s="1"/>
  <c r="L39" i="2" a="1"/>
  <c r="L39" i="2" s="1"/>
  <c r="L40" i="2" a="1"/>
  <c r="L40" i="2" s="1"/>
  <c r="L41" i="2" a="1"/>
  <c r="L41" i="2" s="1"/>
  <c r="L42" i="2" a="1"/>
  <c r="L42" i="2" s="1"/>
  <c r="L43" i="2" a="1"/>
  <c r="L43" i="2" s="1"/>
  <c r="L44" i="2" a="1"/>
  <c r="L44" i="2" s="1"/>
  <c r="L45" i="2" a="1"/>
  <c r="L45" i="2" s="1"/>
  <c r="L46" i="2" a="1"/>
  <c r="L46" i="2" s="1"/>
  <c r="L47" i="2" a="1"/>
  <c r="L47" i="2" s="1"/>
  <c r="L48" i="2" a="1"/>
  <c r="L48" i="2" s="1"/>
  <c r="L49" i="2" a="1"/>
  <c r="L49" i="2" s="1"/>
  <c r="L50" i="2" a="1"/>
  <c r="L50" i="2" s="1"/>
  <c r="L51" i="2" a="1"/>
  <c r="L51" i="2" s="1"/>
  <c r="L52" i="2" a="1"/>
  <c r="L52" i="2" s="1"/>
  <c r="L53" i="2" a="1"/>
  <c r="L53" i="2" s="1"/>
  <c r="L54" i="2" a="1"/>
  <c r="L54" i="2" s="1"/>
  <c r="L55" i="2" a="1"/>
  <c r="L55" i="2" s="1"/>
  <c r="L56" i="2" a="1"/>
  <c r="L56" i="2" s="1"/>
  <c r="L57" i="2" a="1"/>
  <c r="L57" i="2" s="1"/>
  <c r="L58" i="2" a="1"/>
  <c r="L58" i="2" s="1"/>
  <c r="L59" i="2" a="1"/>
  <c r="L59" i="2" s="1"/>
  <c r="L60" i="2" a="1"/>
  <c r="L60" i="2" s="1"/>
  <c r="L61" i="2" a="1"/>
  <c r="L61" i="2" s="1"/>
  <c r="L62" i="2" a="1"/>
  <c r="L62" i="2" s="1"/>
  <c r="L63" i="2" a="1"/>
  <c r="L63" i="2" s="1"/>
  <c r="L64" i="2" a="1"/>
  <c r="L64" i="2" s="1"/>
  <c r="L65" i="2" a="1"/>
  <c r="L65" i="2" s="1"/>
  <c r="L66" i="2" a="1"/>
  <c r="L66" i="2" s="1"/>
  <c r="L67" i="2" a="1"/>
  <c r="L67" i="2" s="1"/>
  <c r="L68" i="2" a="1"/>
  <c r="L68" i="2" s="1"/>
  <c r="L69" i="2" a="1"/>
  <c r="L69" i="2" s="1"/>
  <c r="L70" i="2" a="1"/>
  <c r="L70" i="2" s="1"/>
  <c r="L71" i="2" a="1"/>
  <c r="L71" i="2" s="1"/>
  <c r="L72" i="2" a="1"/>
  <c r="L72" i="2" s="1"/>
  <c r="L73" i="2" a="1"/>
  <c r="L73" i="2" s="1"/>
  <c r="L74" i="2" a="1"/>
  <c r="L74" i="2" s="1"/>
  <c r="L75" i="2" a="1"/>
  <c r="L75" i="2" s="1"/>
  <c r="L4" i="2" a="1"/>
  <c r="L4" i="2" s="1"/>
  <c r="K5" i="2" a="1"/>
  <c r="K5" i="2" s="1"/>
  <c r="K6" i="2" a="1"/>
  <c r="K6" i="2" s="1"/>
  <c r="K7" i="2" a="1"/>
  <c r="K7" i="2" s="1"/>
  <c r="K8" i="2" a="1"/>
  <c r="K8" i="2" s="1"/>
  <c r="K9" i="2" a="1"/>
  <c r="K9" i="2" s="1"/>
  <c r="K10" i="2" a="1"/>
  <c r="K10" i="2" s="1"/>
  <c r="K11" i="2" a="1"/>
  <c r="K11" i="2" s="1"/>
  <c r="K12" i="2" a="1"/>
  <c r="K12" i="2" s="1"/>
  <c r="K13" i="2" a="1"/>
  <c r="K13" i="2" s="1"/>
  <c r="K14" i="2" a="1"/>
  <c r="K14" i="2" s="1"/>
  <c r="K15" i="2" a="1"/>
  <c r="K15" i="2" s="1"/>
  <c r="K16" i="2" a="1"/>
  <c r="K16" i="2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K41" i="2" a="1"/>
  <c r="K41" i="2" s="1"/>
  <c r="K42" i="2" a="1"/>
  <c r="K42" i="2" s="1"/>
  <c r="K43" i="2" a="1"/>
  <c r="K43" i="2" s="1"/>
  <c r="K44" i="2" a="1"/>
  <c r="K44" i="2" s="1"/>
  <c r="K45" i="2" a="1"/>
  <c r="K45" i="2" s="1"/>
  <c r="K46" i="2" a="1"/>
  <c r="K46" i="2" s="1"/>
  <c r="K47" i="2" a="1"/>
  <c r="K47" i="2" s="1"/>
  <c r="K48" i="2" a="1"/>
  <c r="K48" i="2" s="1"/>
  <c r="K49" i="2" a="1"/>
  <c r="K49" i="2" s="1"/>
  <c r="K50" i="2" a="1"/>
  <c r="K50" i="2" s="1"/>
  <c r="K51" i="2" a="1"/>
  <c r="K51" i="2" s="1"/>
  <c r="K52" i="2" a="1"/>
  <c r="K52" i="2" s="1"/>
  <c r="K53" i="2" a="1"/>
  <c r="K53" i="2" s="1"/>
  <c r="K54" i="2" a="1"/>
  <c r="K54" i="2" s="1"/>
  <c r="K55" i="2" a="1"/>
  <c r="K55" i="2" s="1"/>
  <c r="K56" i="2" a="1"/>
  <c r="K56" i="2" s="1"/>
  <c r="K57" i="2" a="1"/>
  <c r="K57" i="2" s="1"/>
  <c r="K58" i="2" a="1"/>
  <c r="K58" i="2" s="1"/>
  <c r="K59" i="2" a="1"/>
  <c r="K59" i="2" s="1"/>
  <c r="K60" i="2" a="1"/>
  <c r="K60" i="2" s="1"/>
  <c r="K61" i="2" a="1"/>
  <c r="K61" i="2" s="1"/>
  <c r="K62" i="2" a="1"/>
  <c r="K62" i="2" s="1"/>
  <c r="K63" i="2" a="1"/>
  <c r="K63" i="2" s="1"/>
  <c r="K64" i="2" a="1"/>
  <c r="K64" i="2" s="1"/>
  <c r="K65" i="2" a="1"/>
  <c r="K65" i="2" s="1"/>
  <c r="K66" i="2" a="1"/>
  <c r="K66" i="2" s="1"/>
  <c r="K67" i="2" a="1"/>
  <c r="K67" i="2" s="1"/>
  <c r="K68" i="2" a="1"/>
  <c r="K68" i="2" s="1"/>
  <c r="K69" i="2" a="1"/>
  <c r="K69" i="2" s="1"/>
  <c r="K70" i="2" a="1"/>
  <c r="K70" i="2" s="1"/>
  <c r="K71" i="2" a="1"/>
  <c r="K71" i="2" s="1"/>
  <c r="K72" i="2" a="1"/>
  <c r="K72" i="2" s="1"/>
  <c r="K73" i="2" a="1"/>
  <c r="K73" i="2" s="1"/>
  <c r="K74" i="2" a="1"/>
  <c r="K74" i="2" s="1"/>
  <c r="K75" i="2" a="1"/>
  <c r="K75" i="2" s="1"/>
  <c r="K4" i="2" a="1"/>
  <c r="K4" i="2" s="1"/>
  <c r="J6" i="2" a="1"/>
  <c r="J6" i="2" s="1"/>
  <c r="J7" i="2" a="1"/>
  <c r="J7" i="2" s="1"/>
  <c r="J10" i="2" a="1"/>
  <c r="J10" i="2" s="1"/>
  <c r="J11" i="2" a="1"/>
  <c r="J11" i="2" s="1"/>
  <c r="J14" i="2" a="1"/>
  <c r="J14" i="2" s="1"/>
  <c r="J15" i="2" a="1"/>
  <c r="J15" i="2" s="1"/>
  <c r="J16" i="2" a="1"/>
  <c r="J16" i="2" s="1"/>
  <c r="J17" i="2" a="1"/>
  <c r="J17" i="2" s="1"/>
  <c r="J20" i="2" a="1"/>
  <c r="J20" i="2" s="1"/>
  <c r="J21" i="2" a="1"/>
  <c r="J21" i="2" s="1"/>
  <c r="J24" i="2" a="1"/>
  <c r="J24" i="2" s="1"/>
  <c r="J25" i="2" a="1"/>
  <c r="J25" i="2" s="1"/>
  <c r="J31" i="2" a="1"/>
  <c r="J31" i="2" s="1"/>
  <c r="J32" i="2" a="1"/>
  <c r="J32" i="2" s="1"/>
  <c r="J37" i="2" a="1"/>
  <c r="J37" i="2" s="1"/>
  <c r="J39" i="2" a="1"/>
  <c r="J39" i="2" s="1"/>
  <c r="J47" i="2" a="1"/>
  <c r="J47" i="2" s="1"/>
  <c r="J51" i="2" a="1"/>
  <c r="J51" i="2" s="1"/>
  <c r="J53" i="2" a="1"/>
  <c r="J53" i="2" s="1"/>
  <c r="J57" i="2" a="1"/>
  <c r="J57" i="2" s="1"/>
  <c r="J59" i="2" a="1"/>
  <c r="J59" i="2" s="1"/>
  <c r="J60" i="2" a="1"/>
  <c r="J60" i="2" s="1"/>
  <c r="J62" i="2" a="1"/>
  <c r="J62" i="2" s="1"/>
  <c r="J64" i="2" a="1"/>
  <c r="J64" i="2" s="1"/>
  <c r="J69" i="2" a="1"/>
  <c r="J69" i="2" s="1"/>
  <c r="J72" i="2" a="1"/>
  <c r="J72" i="2" s="1"/>
  <c r="J73" i="2" a="1"/>
  <c r="J73" i="2" s="1"/>
  <c r="J4" i="2" a="1"/>
  <c r="J4" i="2" s="1"/>
  <c r="G5" i="2" a="1"/>
  <c r="G5" i="2" s="1"/>
  <c r="G6" i="2" a="1"/>
  <c r="G6" i="2" s="1"/>
  <c r="G7" i="2" a="1"/>
  <c r="G7" i="2" s="1"/>
  <c r="G8" i="2" a="1"/>
  <c r="G8" i="2" s="1"/>
  <c r="G9" i="2" a="1"/>
  <c r="G9" i="2" s="1"/>
  <c r="G10" i="2" a="1"/>
  <c r="G10" i="2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G51" i="2" a="1"/>
  <c r="G51" i="2" s="1"/>
  <c r="G52" i="2" a="1"/>
  <c r="G52" i="2" s="1"/>
  <c r="G53" i="2" a="1"/>
  <c r="G53" i="2" s="1"/>
  <c r="G54" i="2" a="1"/>
  <c r="G54" i="2" s="1"/>
  <c r="G55" i="2" a="1"/>
  <c r="G55" i="2" s="1"/>
  <c r="G56" i="2" a="1"/>
  <c r="G56" i="2" s="1"/>
  <c r="G57" i="2" a="1"/>
  <c r="G57" i="2" s="1"/>
  <c r="G58" i="2" a="1"/>
  <c r="G58" i="2" s="1"/>
  <c r="G59" i="2" a="1"/>
  <c r="G59" i="2" s="1"/>
  <c r="G60" i="2" a="1"/>
  <c r="G60" i="2" s="1"/>
  <c r="G61" i="2" a="1"/>
  <c r="G61" i="2" s="1"/>
  <c r="G62" i="2" a="1"/>
  <c r="G62" i="2" s="1"/>
  <c r="G63" i="2" a="1"/>
  <c r="G63" i="2" s="1"/>
  <c r="G64" i="2" a="1"/>
  <c r="G64" i="2" s="1"/>
  <c r="G65" i="2" a="1"/>
  <c r="G65" i="2" s="1"/>
  <c r="H65" i="2" s="1"/>
  <c r="G66" i="2" a="1"/>
  <c r="G66" i="2" s="1"/>
  <c r="G67" i="2" a="1"/>
  <c r="G67" i="2" s="1"/>
  <c r="G68" i="2" a="1"/>
  <c r="G68" i="2" s="1"/>
  <c r="G69" i="2" a="1"/>
  <c r="G69" i="2" s="1"/>
  <c r="G70" i="2" a="1"/>
  <c r="G70" i="2" s="1"/>
  <c r="G71" i="2" a="1"/>
  <c r="G71" i="2" s="1"/>
  <c r="G72" i="2" a="1"/>
  <c r="G72" i="2" s="1"/>
  <c r="G73" i="2" a="1"/>
  <c r="G73" i="2" s="1"/>
  <c r="G74" i="2" a="1"/>
  <c r="G74" i="2" s="1"/>
  <c r="G75" i="2" a="1"/>
  <c r="G75" i="2" s="1"/>
  <c r="G4" i="2" a="1"/>
  <c r="G4" i="2" s="1"/>
  <c r="F5" i="2" a="1"/>
  <c r="F5" i="2" s="1"/>
  <c r="J5" i="2" s="1" a="1"/>
  <c r="J5" i="2" s="1"/>
  <c r="F6" i="2" a="1"/>
  <c r="F6" i="2" s="1"/>
  <c r="F7" i="2" a="1"/>
  <c r="F7" i="2" s="1"/>
  <c r="F8" i="2" a="1"/>
  <c r="F8" i="2" s="1"/>
  <c r="J8" i="2" s="1" a="1"/>
  <c r="J8" i="2" s="1"/>
  <c r="F9" i="2" a="1"/>
  <c r="F9" i="2" s="1"/>
  <c r="J9" i="2" s="1" a="1"/>
  <c r="J9" i="2" s="1"/>
  <c r="F10" i="2" a="1"/>
  <c r="F10" i="2" s="1"/>
  <c r="F11" i="2" a="1"/>
  <c r="F11" i="2" s="1"/>
  <c r="F12" i="2" a="1"/>
  <c r="F12" i="2" s="1"/>
  <c r="H12" i="2" s="1"/>
  <c r="F13" i="2" a="1"/>
  <c r="F13" i="2" s="1"/>
  <c r="J13" i="2" s="1" a="1"/>
  <c r="J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J18" i="2" s="1" a="1"/>
  <c r="J18" i="2" s="1"/>
  <c r="F19" i="2" a="1"/>
  <c r="F19" i="2" s="1"/>
  <c r="J19" i="2" s="1" a="1"/>
  <c r="J19" i="2" s="1"/>
  <c r="F20" i="2" a="1"/>
  <c r="F20" i="2" s="1"/>
  <c r="F21" i="2" a="1"/>
  <c r="F21" i="2" s="1"/>
  <c r="F22" i="2" a="1"/>
  <c r="F22" i="2" s="1"/>
  <c r="J22" i="2" s="1" a="1"/>
  <c r="J22" i="2" s="1"/>
  <c r="F23" i="2" a="1"/>
  <c r="F23" i="2" s="1"/>
  <c r="J23" i="2" s="1" a="1"/>
  <c r="J23" i="2" s="1"/>
  <c r="F24" i="2" a="1"/>
  <c r="F24" i="2" s="1"/>
  <c r="F25" i="2" a="1"/>
  <c r="F25" i="2" s="1"/>
  <c r="F26" i="2" a="1"/>
  <c r="F26" i="2" s="1"/>
  <c r="H26" i="2" s="1"/>
  <c r="F27" i="2" a="1"/>
  <c r="F27" i="2" s="1"/>
  <c r="J27" i="2" s="1" a="1"/>
  <c r="J27" i="2" s="1"/>
  <c r="F28" i="2" a="1"/>
  <c r="F28" i="2" s="1"/>
  <c r="J28" i="2" s="1" a="1"/>
  <c r="J28" i="2" s="1"/>
  <c r="F29" i="2" a="1"/>
  <c r="F29" i="2" s="1"/>
  <c r="J29" i="2" s="1" a="1"/>
  <c r="J29" i="2" s="1"/>
  <c r="F30" i="2" a="1"/>
  <c r="F30" i="2" s="1"/>
  <c r="J30" i="2" s="1" a="1"/>
  <c r="J30" i="2" s="1"/>
  <c r="F31" i="2" a="1"/>
  <c r="F31" i="2" s="1"/>
  <c r="F32" i="2" a="1"/>
  <c r="F32" i="2" s="1"/>
  <c r="F33" i="2" a="1"/>
  <c r="F33" i="2" s="1"/>
  <c r="J33" i="2" s="1" a="1"/>
  <c r="J33" i="2" s="1"/>
  <c r="F34" i="2" a="1"/>
  <c r="F34" i="2" s="1"/>
  <c r="H34" i="2" s="1"/>
  <c r="F35" i="2" a="1"/>
  <c r="F35" i="2" s="1"/>
  <c r="J35" i="2" s="1" a="1"/>
  <c r="J35" i="2" s="1"/>
  <c r="F36" i="2" a="1"/>
  <c r="F36" i="2" s="1"/>
  <c r="H36" i="2" s="1"/>
  <c r="F37" i="2" a="1"/>
  <c r="F37" i="2" s="1"/>
  <c r="F38" i="2" a="1"/>
  <c r="F38" i="2" s="1"/>
  <c r="J38" i="2" s="1" a="1"/>
  <c r="J38" i="2" s="1"/>
  <c r="F39" i="2" a="1"/>
  <c r="F39" i="2" s="1"/>
  <c r="F40" i="2" a="1"/>
  <c r="F40" i="2" s="1"/>
  <c r="H40" i="2" s="1"/>
  <c r="F41" i="2" a="1"/>
  <c r="F41" i="2" s="1"/>
  <c r="J41" i="2" s="1" a="1"/>
  <c r="J41" i="2" s="1"/>
  <c r="F42" i="2" a="1"/>
  <c r="F42" i="2" s="1"/>
  <c r="H42" i="2" s="1"/>
  <c r="F43" i="2" a="1"/>
  <c r="F43" i="2" s="1"/>
  <c r="J43" i="2" s="1" a="1"/>
  <c r="J43" i="2" s="1"/>
  <c r="F44" i="2" a="1"/>
  <c r="F44" i="2" s="1"/>
  <c r="H44" i="2" s="1"/>
  <c r="F45" i="2" a="1"/>
  <c r="F45" i="2" s="1"/>
  <c r="J45" i="2" s="1" a="1"/>
  <c r="J45" i="2" s="1"/>
  <c r="F46" i="2" a="1"/>
  <c r="F46" i="2" s="1"/>
  <c r="J46" i="2" s="1" a="1"/>
  <c r="J46" i="2" s="1"/>
  <c r="F47" i="2" a="1"/>
  <c r="F47" i="2" s="1"/>
  <c r="F48" i="2" a="1"/>
  <c r="F48" i="2" s="1"/>
  <c r="J48" i="2" s="1" a="1"/>
  <c r="J48" i="2" s="1"/>
  <c r="F49" i="2" a="1"/>
  <c r="F49" i="2" s="1"/>
  <c r="J49" i="2" s="1" a="1"/>
  <c r="J49" i="2" s="1"/>
  <c r="F50" i="2" a="1"/>
  <c r="F50" i="2" s="1"/>
  <c r="J50" i="2" s="1" a="1"/>
  <c r="J50" i="2" s="1"/>
  <c r="F51" i="2" a="1"/>
  <c r="F51" i="2" s="1"/>
  <c r="F52" i="2" a="1"/>
  <c r="F52" i="2" s="1"/>
  <c r="J52" i="2" s="1" a="1"/>
  <c r="J52" i="2" s="1"/>
  <c r="F53" i="2" a="1"/>
  <c r="F53" i="2" s="1"/>
  <c r="F54" i="2" a="1"/>
  <c r="F54" i="2" s="1"/>
  <c r="J54" i="2" s="1" a="1"/>
  <c r="J54" i="2" s="1"/>
  <c r="F55" i="2" a="1"/>
  <c r="F55" i="2" s="1"/>
  <c r="J55" i="2" s="1" a="1"/>
  <c r="J55" i="2" s="1"/>
  <c r="F56" i="2" a="1"/>
  <c r="F56" i="2" s="1"/>
  <c r="J56" i="2" s="1" a="1"/>
  <c r="J56" i="2" s="1"/>
  <c r="F57" i="2" a="1"/>
  <c r="F57" i="2" s="1"/>
  <c r="F58" i="2" a="1"/>
  <c r="F58" i="2" s="1"/>
  <c r="J58" i="2" s="1" a="1"/>
  <c r="J58" i="2" s="1"/>
  <c r="F59" i="2" a="1"/>
  <c r="F59" i="2" s="1"/>
  <c r="F60" i="2" a="1"/>
  <c r="F60" i="2" s="1"/>
  <c r="F61" i="2" a="1"/>
  <c r="F61" i="2" s="1"/>
  <c r="J61" i="2" s="1" a="1"/>
  <c r="J61" i="2" s="1"/>
  <c r="F62" i="2" a="1"/>
  <c r="F62" i="2" s="1"/>
  <c r="F63" i="2" a="1"/>
  <c r="F63" i="2" s="1"/>
  <c r="J63" i="2" s="1" a="1"/>
  <c r="J63" i="2" s="1"/>
  <c r="F64" i="2" a="1"/>
  <c r="F64" i="2" s="1"/>
  <c r="F65" i="2" a="1"/>
  <c r="F65" i="2" s="1"/>
  <c r="J65" i="2" s="1" a="1"/>
  <c r="J65" i="2" s="1"/>
  <c r="F66" i="2" a="1"/>
  <c r="F66" i="2" s="1"/>
  <c r="J66" i="2" s="1" a="1"/>
  <c r="J66" i="2" s="1"/>
  <c r="F67" i="2" a="1"/>
  <c r="F67" i="2" s="1"/>
  <c r="J67" i="2" s="1" a="1"/>
  <c r="J67" i="2" s="1"/>
  <c r="F68" i="2" a="1"/>
  <c r="F68" i="2" s="1"/>
  <c r="J68" i="2" s="1" a="1"/>
  <c r="J68" i="2" s="1"/>
  <c r="F69" i="2" a="1"/>
  <c r="F69" i="2" s="1"/>
  <c r="F70" i="2" a="1"/>
  <c r="F70" i="2" s="1"/>
  <c r="J70" i="2" s="1" a="1"/>
  <c r="J70" i="2" s="1"/>
  <c r="F71" i="2" a="1"/>
  <c r="F71" i="2" s="1"/>
  <c r="J71" i="2" s="1" a="1"/>
  <c r="J71" i="2" s="1"/>
  <c r="F72" i="2" a="1"/>
  <c r="F72" i="2" s="1"/>
  <c r="F73" i="2" a="1"/>
  <c r="F73" i="2" s="1"/>
  <c r="F74" i="2" a="1"/>
  <c r="F74" i="2" s="1"/>
  <c r="H74" i="2" s="1"/>
  <c r="F75" i="2" a="1"/>
  <c r="F75" i="2" s="1"/>
  <c r="J75" i="2" s="1" a="1"/>
  <c r="J75" i="2" s="1"/>
  <c r="F4" i="2" a="1"/>
  <c r="F4" i="2" s="1"/>
  <c r="H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E12" i="2" a="1"/>
  <c r="E12" i="2" s="1"/>
  <c r="I12" i="2" s="1"/>
  <c r="E13" i="2" a="1"/>
  <c r="E13" i="2" s="1"/>
  <c r="I13" i="2" s="1"/>
  <c r="E14" i="2" a="1"/>
  <c r="E14" i="2" s="1"/>
  <c r="I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E24" i="2" a="1"/>
  <c r="E24" i="2" s="1"/>
  <c r="E25" i="2" a="1"/>
  <c r="E25" i="2" s="1"/>
  <c r="E26" i="2" a="1"/>
  <c r="E26" i="2" s="1"/>
  <c r="I26" i="2" s="1"/>
  <c r="E27" i="2" a="1"/>
  <c r="E27" i="2" s="1"/>
  <c r="E28" i="2" a="1"/>
  <c r="E28" i="2" s="1"/>
  <c r="E29" i="2" a="1"/>
  <c r="E29" i="2" s="1"/>
  <c r="E30" i="2" a="1"/>
  <c r="E30" i="2" s="1"/>
  <c r="E31" i="2" a="1"/>
  <c r="E31" i="2" s="1"/>
  <c r="E32" i="2" a="1"/>
  <c r="E32" i="2" s="1"/>
  <c r="E33" i="2" a="1"/>
  <c r="E33" i="2" s="1"/>
  <c r="E34" i="2" a="1"/>
  <c r="E34" i="2" s="1"/>
  <c r="E35" i="2" a="1"/>
  <c r="E35" i="2" s="1"/>
  <c r="E36" i="2" a="1"/>
  <c r="E36" i="2" s="1"/>
  <c r="E37" i="2" a="1"/>
  <c r="E37" i="2" s="1"/>
  <c r="E38" i="2" a="1"/>
  <c r="E38" i="2" s="1"/>
  <c r="I38" i="2" s="1"/>
  <c r="E39" i="2" a="1"/>
  <c r="E39" i="2" s="1"/>
  <c r="E40" i="2" a="1"/>
  <c r="E40" i="2" s="1"/>
  <c r="E41" i="2" a="1"/>
  <c r="E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E51" i="2" a="1"/>
  <c r="E51" i="2" s="1"/>
  <c r="E52" i="2" a="1"/>
  <c r="E52" i="2" s="1"/>
  <c r="E53" i="2" a="1"/>
  <c r="E53" i="2" s="1"/>
  <c r="E54" i="2" a="1"/>
  <c r="E54" i="2" s="1"/>
  <c r="E55" i="2" a="1"/>
  <c r="E55" i="2" s="1"/>
  <c r="E56" i="2" a="1"/>
  <c r="E56" i="2" s="1"/>
  <c r="E57" i="2" a="1"/>
  <c r="E57" i="2" s="1"/>
  <c r="E58" i="2" a="1"/>
  <c r="E58" i="2" s="1"/>
  <c r="E59" i="2" a="1"/>
  <c r="E59" i="2" s="1"/>
  <c r="E60" i="2" a="1"/>
  <c r="E60" i="2" s="1"/>
  <c r="E61" i="2" a="1"/>
  <c r="E61" i="2" s="1"/>
  <c r="E62" i="2" a="1"/>
  <c r="E62" i="2" s="1"/>
  <c r="E63" i="2" a="1"/>
  <c r="E63" i="2" s="1"/>
  <c r="E64" i="2" a="1"/>
  <c r="E64" i="2" s="1"/>
  <c r="E65" i="2" a="1"/>
  <c r="E65" i="2" s="1"/>
  <c r="E66" i="2" a="1"/>
  <c r="E66" i="2" s="1"/>
  <c r="E67" i="2" a="1"/>
  <c r="E67" i="2" s="1"/>
  <c r="E68" i="2" a="1"/>
  <c r="E68" i="2" s="1"/>
  <c r="E69" i="2" a="1"/>
  <c r="E69" i="2" s="1"/>
  <c r="E70" i="2" a="1"/>
  <c r="E70" i="2" s="1"/>
  <c r="E71" i="2" a="1"/>
  <c r="E71" i="2" s="1"/>
  <c r="E72" i="2" a="1"/>
  <c r="E72" i="2" s="1"/>
  <c r="E73" i="2" a="1"/>
  <c r="E73" i="2" s="1"/>
  <c r="E74" i="2" a="1"/>
  <c r="E74" i="2" s="1"/>
  <c r="E75" i="2" a="1"/>
  <c r="E75" i="2" s="1"/>
  <c r="E4" i="2" a="1"/>
  <c r="E4" i="2" s="1"/>
  <c r="I4" i="2" s="1"/>
  <c r="D5" i="2" a="1"/>
  <c r="D5" i="2" s="1"/>
  <c r="D6" i="2" a="1"/>
  <c r="D6" i="2" s="1"/>
  <c r="D7" i="2" a="1"/>
  <c r="D7" i="2" s="1"/>
  <c r="D8" i="2" a="1"/>
  <c r="D8" i="2" s="1"/>
  <c r="D9" i="2" a="1"/>
  <c r="D9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9" i="2" a="1"/>
  <c r="D29" i="2" s="1"/>
  <c r="D30" i="2" a="1"/>
  <c r="D30" i="2" s="1"/>
  <c r="D31" i="2" a="1"/>
  <c r="D31" i="2" s="1"/>
  <c r="D32" i="2" a="1"/>
  <c r="D32" i="2" s="1"/>
  <c r="D33" i="2" a="1"/>
  <c r="D33" i="2" s="1"/>
  <c r="D34" i="2" a="1"/>
  <c r="D34" i="2" s="1"/>
  <c r="D35" i="2" a="1"/>
  <c r="D35" i="2" s="1"/>
  <c r="D36" i="2" a="1"/>
  <c r="D36" i="2" s="1"/>
  <c r="D37" i="2" a="1"/>
  <c r="D37" i="2" s="1"/>
  <c r="D38" i="2" a="1"/>
  <c r="D38" i="2" s="1"/>
  <c r="D39" i="2" a="1"/>
  <c r="D39" i="2" s="1"/>
  <c r="D40" i="2" a="1"/>
  <c r="D40" i="2" s="1"/>
  <c r="D41" i="2" a="1"/>
  <c r="D41" i="2" s="1"/>
  <c r="D42" i="2" a="1"/>
  <c r="D42" i="2" s="1"/>
  <c r="D43" i="2" a="1"/>
  <c r="D43" i="2" s="1"/>
  <c r="D44" i="2" a="1"/>
  <c r="D44" i="2" s="1"/>
  <c r="D45" i="2" a="1"/>
  <c r="D45" i="2" s="1"/>
  <c r="D46" i="2" a="1"/>
  <c r="D46" i="2" s="1"/>
  <c r="D47" i="2" a="1"/>
  <c r="D47" i="2" s="1"/>
  <c r="D48" i="2" a="1"/>
  <c r="D48" i="2" s="1"/>
  <c r="D49" i="2" a="1"/>
  <c r="D49" i="2" s="1"/>
  <c r="D50" i="2" a="1"/>
  <c r="D50" i="2" s="1"/>
  <c r="D51" i="2" a="1"/>
  <c r="D51" i="2" s="1"/>
  <c r="D52" i="2" a="1"/>
  <c r="D52" i="2" s="1"/>
  <c r="D53" i="2" a="1"/>
  <c r="D53" i="2" s="1"/>
  <c r="D54" i="2" a="1"/>
  <c r="D54" i="2" s="1"/>
  <c r="D55" i="2" a="1"/>
  <c r="D55" i="2" s="1"/>
  <c r="D56" i="2" a="1"/>
  <c r="D56" i="2" s="1"/>
  <c r="D57" i="2" a="1"/>
  <c r="D57" i="2" s="1"/>
  <c r="D58" i="2" a="1"/>
  <c r="D58" i="2" s="1"/>
  <c r="D59" i="2" a="1"/>
  <c r="D59" i="2" s="1"/>
  <c r="D60" i="2" a="1"/>
  <c r="D60" i="2" s="1"/>
  <c r="D61" i="2" a="1"/>
  <c r="D61" i="2" s="1"/>
  <c r="D62" i="2" a="1"/>
  <c r="D62" i="2" s="1"/>
  <c r="D63" i="2" a="1"/>
  <c r="D63" i="2" s="1"/>
  <c r="D64" i="2" a="1"/>
  <c r="D64" i="2" s="1"/>
  <c r="D65" i="2" a="1"/>
  <c r="D65" i="2" s="1"/>
  <c r="D66" i="2" a="1"/>
  <c r="D66" i="2" s="1"/>
  <c r="D67" i="2" a="1"/>
  <c r="D67" i="2" s="1"/>
  <c r="D68" i="2" a="1"/>
  <c r="D68" i="2" s="1"/>
  <c r="D69" i="2" a="1"/>
  <c r="D69" i="2" s="1"/>
  <c r="D70" i="2" a="1"/>
  <c r="D70" i="2" s="1"/>
  <c r="D71" i="2" a="1"/>
  <c r="D71" i="2" s="1"/>
  <c r="D72" i="2" a="1"/>
  <c r="D72" i="2" s="1"/>
  <c r="D73" i="2" a="1"/>
  <c r="D73" i="2" s="1"/>
  <c r="D74" i="2" a="1"/>
  <c r="D74" i="2" s="1"/>
  <c r="D75" i="2" a="1"/>
  <c r="D75" i="2" s="1"/>
  <c r="D4" i="2" a="1"/>
  <c r="D4" i="2" s="1"/>
  <c r="C30" i="2" a="1"/>
  <c r="C30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 s="1"/>
  <c r="C42" i="2" a="1"/>
  <c r="C42" i="2" s="1"/>
  <c r="C43" i="2" a="1"/>
  <c r="C43" i="2" s="1"/>
  <c r="C44" i="2" a="1"/>
  <c r="C44" i="2" s="1"/>
  <c r="C45" i="2" a="1"/>
  <c r="C45" i="2" s="1"/>
  <c r="C46" i="2" a="1"/>
  <c r="C46" i="2" s="1"/>
  <c r="C47" i="2" a="1"/>
  <c r="C47" i="2" s="1"/>
  <c r="C48" i="2" a="1"/>
  <c r="C48" i="2" s="1"/>
  <c r="C49" i="2" a="1"/>
  <c r="C49" i="2" s="1"/>
  <c r="C50" i="2" a="1"/>
  <c r="C50" i="2" s="1"/>
  <c r="C51" i="2" a="1"/>
  <c r="C51" i="2" s="1"/>
  <c r="C52" i="2" a="1"/>
  <c r="C52" i="2" s="1"/>
  <c r="C53" i="2" a="1"/>
  <c r="C53" i="2" s="1"/>
  <c r="C54" i="2" a="1"/>
  <c r="C54" i="2" s="1"/>
  <c r="C55" i="2" a="1"/>
  <c r="C55" i="2" s="1"/>
  <c r="C56" i="2" a="1"/>
  <c r="C56" i="2" s="1"/>
  <c r="C57" i="2" a="1"/>
  <c r="C57" i="2" s="1"/>
  <c r="C58" i="2" a="1"/>
  <c r="C58" i="2" s="1"/>
  <c r="C59" i="2" a="1"/>
  <c r="C59" i="2" s="1"/>
  <c r="C60" i="2" a="1"/>
  <c r="C60" i="2" s="1"/>
  <c r="C61" i="2" a="1"/>
  <c r="C61" i="2" s="1"/>
  <c r="C62" i="2" a="1"/>
  <c r="C62" i="2" s="1"/>
  <c r="C63" i="2" a="1"/>
  <c r="C63" i="2" s="1"/>
  <c r="C64" i="2" a="1"/>
  <c r="C64" i="2" s="1"/>
  <c r="C65" i="2" a="1"/>
  <c r="C65" i="2" s="1"/>
  <c r="C66" i="2" a="1"/>
  <c r="C66" i="2" s="1"/>
  <c r="C67" i="2" a="1"/>
  <c r="C67" i="2" s="1"/>
  <c r="C68" i="2" a="1"/>
  <c r="C68" i="2" s="1"/>
  <c r="C69" i="2" a="1"/>
  <c r="C69" i="2" s="1"/>
  <c r="C70" i="2" a="1"/>
  <c r="C70" i="2" s="1"/>
  <c r="C71" i="2" a="1"/>
  <c r="C71" i="2" s="1"/>
  <c r="C72" i="2" a="1"/>
  <c r="C72" i="2" s="1"/>
  <c r="C73" i="2" a="1"/>
  <c r="C73" i="2" s="1"/>
  <c r="C74" i="2" a="1"/>
  <c r="C74" i="2" s="1"/>
  <c r="C75" i="2" a="1"/>
  <c r="C75" i="2" s="1"/>
  <c r="C4" i="2" a="1"/>
  <c r="C4" i="2" s="1"/>
  <c r="T8" i="2" a="1"/>
  <c r="T8" i="2" s="1"/>
  <c r="U8" i="2" s="1"/>
  <c r="T7" i="2" a="1"/>
  <c r="T7" i="2" s="1"/>
  <c r="U7" i="2" s="1"/>
  <c r="T37" i="2" a="1"/>
  <c r="T37" i="2" s="1"/>
  <c r="U37" i="2" s="1"/>
  <c r="AC37" i="2" s="1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B50" i="2"/>
  <c r="AD50" i="2"/>
  <c r="AD51" i="2"/>
  <c r="AD52" i="2"/>
  <c r="AD53" i="2"/>
  <c r="AD54" i="2"/>
  <c r="AD55" i="2"/>
  <c r="AD56" i="2"/>
  <c r="AD57" i="2"/>
  <c r="AD58" i="2"/>
  <c r="AB59" i="2"/>
  <c r="AD59" i="2"/>
  <c r="AB60" i="2"/>
  <c r="AD60" i="2"/>
  <c r="AB61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M9" i="2" a="1"/>
  <c r="M9" i="2" s="1"/>
  <c r="N9" i="2" a="1"/>
  <c r="N9" i="2" s="1"/>
  <c r="AB9" i="2"/>
  <c r="T9" i="2" a="1"/>
  <c r="T9" i="2" s="1"/>
  <c r="U9" i="2" s="1"/>
  <c r="M10" i="2" a="1"/>
  <c r="M10" i="2" s="1"/>
  <c r="P10" i="2" s="1"/>
  <c r="N10" i="2" a="1"/>
  <c r="N10" i="2" s="1"/>
  <c r="T10" i="2" a="1"/>
  <c r="T10" i="2" s="1"/>
  <c r="U10" i="2" s="1"/>
  <c r="M11" i="2" a="1"/>
  <c r="M11" i="2" s="1"/>
  <c r="P11" i="2" s="1"/>
  <c r="N11" i="2" a="1"/>
  <c r="N11" i="2" s="1"/>
  <c r="T11" i="2" a="1"/>
  <c r="T11" i="2" s="1"/>
  <c r="U11" i="2" s="1"/>
  <c r="M12" i="2" a="1"/>
  <c r="M12" i="2" s="1"/>
  <c r="N12" i="2" a="1"/>
  <c r="N12" i="2" s="1"/>
  <c r="T12" i="2" a="1"/>
  <c r="T12" i="2" s="1"/>
  <c r="U12" i="2" s="1"/>
  <c r="M13" i="2" a="1"/>
  <c r="M13" i="2" s="1"/>
  <c r="N13" i="2" a="1"/>
  <c r="N13" i="2" s="1"/>
  <c r="T13" i="2" a="1"/>
  <c r="T13" i="2" s="1"/>
  <c r="U13" i="2" s="1"/>
  <c r="AC13" i="2" s="1"/>
  <c r="M14" i="2" a="1"/>
  <c r="M14" i="2" s="1"/>
  <c r="P14" i="2" s="1"/>
  <c r="N14" i="2" a="1"/>
  <c r="N14" i="2" s="1"/>
  <c r="T14" i="2" a="1"/>
  <c r="T14" i="2" s="1"/>
  <c r="U14" i="2" s="1"/>
  <c r="AC14" i="2" s="1"/>
  <c r="M15" i="2" a="1"/>
  <c r="M15" i="2" s="1"/>
  <c r="N15" i="2" a="1"/>
  <c r="N15" i="2" s="1"/>
  <c r="T15" i="2" a="1"/>
  <c r="T15" i="2" s="1"/>
  <c r="U15" i="2" s="1"/>
  <c r="AC15" i="2" s="1"/>
  <c r="M16" i="2" a="1"/>
  <c r="M16" i="2" s="1"/>
  <c r="N16" i="2" a="1"/>
  <c r="N16" i="2" s="1"/>
  <c r="T16" i="2" a="1"/>
  <c r="T16" i="2" s="1"/>
  <c r="U16" i="2" s="1"/>
  <c r="AC16" i="2" s="1"/>
  <c r="M17" i="2" a="1"/>
  <c r="M17" i="2" s="1"/>
  <c r="P17" i="2" s="1"/>
  <c r="AA17" i="2" s="1"/>
  <c r="N17" i="2" a="1"/>
  <c r="N17" i="2" s="1"/>
  <c r="T17" i="2" a="1"/>
  <c r="T17" i="2" s="1"/>
  <c r="U17" i="2" s="1"/>
  <c r="AC17" i="2" s="1"/>
  <c r="M18" i="2" a="1"/>
  <c r="M18" i="2" s="1"/>
  <c r="N18" i="2" a="1"/>
  <c r="N18" i="2" s="1"/>
  <c r="T18" i="2" a="1"/>
  <c r="T18" i="2" s="1"/>
  <c r="U18" i="2" s="1"/>
  <c r="AC18" i="2" s="1"/>
  <c r="H19" i="2"/>
  <c r="M19" i="2" a="1"/>
  <c r="M19" i="2" s="1"/>
  <c r="N19" i="2" a="1"/>
  <c r="N19" i="2" s="1"/>
  <c r="T19" i="2" a="1"/>
  <c r="T19" i="2" s="1"/>
  <c r="U19" i="2" s="1"/>
  <c r="AC19" i="2" s="1"/>
  <c r="M20" i="2" a="1"/>
  <c r="M20" i="2" s="1"/>
  <c r="P20" i="2" s="1"/>
  <c r="N20" i="2" a="1"/>
  <c r="N20" i="2" s="1"/>
  <c r="T20" i="2" a="1"/>
  <c r="T20" i="2" s="1"/>
  <c r="U20" i="2" s="1"/>
  <c r="AC20" i="2" s="1"/>
  <c r="M21" i="2" a="1"/>
  <c r="M21" i="2" s="1"/>
  <c r="N21" i="2" a="1"/>
  <c r="N21" i="2" s="1"/>
  <c r="T21" i="2" a="1"/>
  <c r="T21" i="2" s="1"/>
  <c r="U21" i="2" s="1"/>
  <c r="AC21" i="2" s="1"/>
  <c r="M22" i="2" a="1"/>
  <c r="M22" i="2" s="1"/>
  <c r="P22" i="2" s="1"/>
  <c r="N22" i="2" a="1"/>
  <c r="N22" i="2" s="1"/>
  <c r="T22" i="2" a="1"/>
  <c r="T22" i="2" s="1"/>
  <c r="U22" i="2" s="1"/>
  <c r="AC22" i="2" s="1"/>
  <c r="M23" i="2" a="1"/>
  <c r="M23" i="2" s="1"/>
  <c r="N23" i="2" a="1"/>
  <c r="N23" i="2" s="1"/>
  <c r="T23" i="2" a="1"/>
  <c r="T23" i="2" s="1"/>
  <c r="U23" i="2" s="1"/>
  <c r="AC23" i="2" s="1"/>
  <c r="M24" i="2" a="1"/>
  <c r="M24" i="2" s="1"/>
  <c r="P24" i="2" s="1"/>
  <c r="N24" i="2" a="1"/>
  <c r="N24" i="2" s="1"/>
  <c r="T24" i="2" a="1"/>
  <c r="T24" i="2" s="1"/>
  <c r="U24" i="2" s="1"/>
  <c r="AC24" i="2" s="1"/>
  <c r="M25" i="2" a="1"/>
  <c r="M25" i="2" s="1"/>
  <c r="N25" i="2" a="1"/>
  <c r="N25" i="2" s="1"/>
  <c r="T25" i="2" a="1"/>
  <c r="T25" i="2" s="1"/>
  <c r="U25" i="2" s="1"/>
  <c r="AC25" i="2" s="1"/>
  <c r="M26" i="2" a="1"/>
  <c r="M26" i="2" s="1"/>
  <c r="P26" i="2" s="1"/>
  <c r="N26" i="2" a="1"/>
  <c r="N26" i="2" s="1"/>
  <c r="T26" i="2" a="1"/>
  <c r="T26" i="2" s="1"/>
  <c r="U26" i="2" s="1"/>
  <c r="AC26" i="2" s="1"/>
  <c r="M27" i="2" a="1"/>
  <c r="M27" i="2" s="1"/>
  <c r="N27" i="2" a="1"/>
  <c r="N27" i="2" s="1"/>
  <c r="T27" i="2" a="1"/>
  <c r="T27" i="2" s="1"/>
  <c r="U27" i="2" s="1"/>
  <c r="AC27" i="2" s="1"/>
  <c r="M28" i="2" a="1"/>
  <c r="M28" i="2" s="1"/>
  <c r="P28" i="2" s="1"/>
  <c r="N28" i="2" a="1"/>
  <c r="N28" i="2" s="1"/>
  <c r="T28" i="2" a="1"/>
  <c r="T28" i="2" s="1"/>
  <c r="U28" i="2" s="1"/>
  <c r="AC28" i="2" s="1"/>
  <c r="M29" i="2" a="1"/>
  <c r="M29" i="2" s="1"/>
  <c r="N29" i="2" a="1"/>
  <c r="N29" i="2" s="1"/>
  <c r="T29" i="2" a="1"/>
  <c r="T29" i="2" s="1"/>
  <c r="U29" i="2" s="1"/>
  <c r="AC29" i="2" s="1"/>
  <c r="M30" i="2" a="1"/>
  <c r="M30" i="2" s="1"/>
  <c r="P30" i="2" s="1"/>
  <c r="N30" i="2" a="1"/>
  <c r="N30" i="2" s="1"/>
  <c r="T30" i="2" a="1"/>
  <c r="T30" i="2" s="1"/>
  <c r="U30" i="2" s="1"/>
  <c r="AC30" i="2" s="1"/>
  <c r="M31" i="2" a="1"/>
  <c r="M31" i="2" s="1"/>
  <c r="N31" i="2" a="1"/>
  <c r="N31" i="2" s="1"/>
  <c r="T31" i="2" a="1"/>
  <c r="T31" i="2" s="1"/>
  <c r="U31" i="2" s="1"/>
  <c r="AC31" i="2" s="1"/>
  <c r="M32" i="2" a="1"/>
  <c r="M32" i="2" s="1"/>
  <c r="N32" i="2" a="1"/>
  <c r="N32" i="2" s="1"/>
  <c r="T32" i="2" a="1"/>
  <c r="T32" i="2" s="1"/>
  <c r="U32" i="2" s="1"/>
  <c r="AC32" i="2" s="1"/>
  <c r="M33" i="2" a="1"/>
  <c r="M33" i="2" s="1"/>
  <c r="N33" i="2" a="1"/>
  <c r="N33" i="2" s="1"/>
  <c r="T33" i="2" a="1"/>
  <c r="T33" i="2" s="1"/>
  <c r="U33" i="2" s="1"/>
  <c r="AC33" i="2" s="1"/>
  <c r="M34" i="2" a="1"/>
  <c r="M34" i="2" s="1"/>
  <c r="P34" i="2" s="1"/>
  <c r="N34" i="2" a="1"/>
  <c r="N34" i="2" s="1"/>
  <c r="T34" i="2" a="1"/>
  <c r="T34" i="2" s="1"/>
  <c r="U34" i="2" s="1"/>
  <c r="AC34" i="2" s="1"/>
  <c r="M35" i="2" a="1"/>
  <c r="M35" i="2" s="1"/>
  <c r="N35" i="2" a="1"/>
  <c r="N35" i="2" s="1"/>
  <c r="T35" i="2" a="1"/>
  <c r="T35" i="2" s="1"/>
  <c r="U35" i="2" s="1"/>
  <c r="AC35" i="2" s="1"/>
  <c r="M36" i="2" a="1"/>
  <c r="M36" i="2" s="1"/>
  <c r="P36" i="2" s="1"/>
  <c r="N36" i="2" a="1"/>
  <c r="N36" i="2" s="1"/>
  <c r="T36" i="2" a="1"/>
  <c r="T36" i="2" s="1"/>
  <c r="U36" i="2" s="1"/>
  <c r="AC36" i="2" s="1"/>
  <c r="H37" i="2"/>
  <c r="M37" i="2" a="1"/>
  <c r="M37" i="2" s="1"/>
  <c r="P37" i="2" s="1"/>
  <c r="N37" i="2" a="1"/>
  <c r="N37" i="2" s="1"/>
  <c r="M38" i="2" a="1"/>
  <c r="M38" i="2" s="1"/>
  <c r="P38" i="2" s="1"/>
  <c r="N38" i="2" a="1"/>
  <c r="N38" i="2" s="1"/>
  <c r="T38" i="2" a="1"/>
  <c r="T38" i="2" s="1"/>
  <c r="U38" i="2" s="1"/>
  <c r="AC38" i="2" s="1"/>
  <c r="M39" i="2" a="1"/>
  <c r="M39" i="2" s="1"/>
  <c r="N39" i="2" a="1"/>
  <c r="N39" i="2" s="1"/>
  <c r="T39" i="2" a="1"/>
  <c r="T39" i="2" s="1"/>
  <c r="U39" i="2" s="1"/>
  <c r="AC39" i="2" s="1"/>
  <c r="M40" i="2" a="1"/>
  <c r="M40" i="2" s="1"/>
  <c r="P40" i="2" s="1"/>
  <c r="N40" i="2" a="1"/>
  <c r="N40" i="2" s="1"/>
  <c r="T40" i="2" a="1"/>
  <c r="T40" i="2" s="1"/>
  <c r="U40" i="2" s="1"/>
  <c r="AC40" i="2" s="1"/>
  <c r="I41" i="2"/>
  <c r="M41" i="2" a="1"/>
  <c r="M41" i="2" s="1"/>
  <c r="P41" i="2" s="1"/>
  <c r="N41" i="2" a="1"/>
  <c r="N41" i="2" s="1"/>
  <c r="T41" i="2" a="1"/>
  <c r="T41" i="2" s="1"/>
  <c r="U41" i="2" s="1"/>
  <c r="AC41" i="2" s="1"/>
  <c r="I42" i="2"/>
  <c r="M42" i="2" a="1"/>
  <c r="M42" i="2" s="1"/>
  <c r="N42" i="2" a="1"/>
  <c r="N42" i="2" s="1"/>
  <c r="T42" i="2" a="1"/>
  <c r="T42" i="2" s="1"/>
  <c r="U42" i="2" s="1"/>
  <c r="AC42" i="2" s="1"/>
  <c r="M43" i="2" a="1"/>
  <c r="M43" i="2" s="1"/>
  <c r="N43" i="2" a="1"/>
  <c r="N43" i="2" s="1"/>
  <c r="T43" i="2" a="1"/>
  <c r="T43" i="2" s="1"/>
  <c r="U43" i="2" s="1"/>
  <c r="AC43" i="2" s="1"/>
  <c r="I44" i="2"/>
  <c r="M44" i="2" a="1"/>
  <c r="M44" i="2" s="1"/>
  <c r="P44" i="2" s="1"/>
  <c r="N44" i="2" a="1"/>
  <c r="N44" i="2" s="1"/>
  <c r="T44" i="2" a="1"/>
  <c r="T44" i="2" s="1"/>
  <c r="U44" i="2" s="1"/>
  <c r="AC44" i="2" s="1"/>
  <c r="H45" i="2"/>
  <c r="M45" i="2" a="1"/>
  <c r="M45" i="2" s="1"/>
  <c r="Z45" i="2" s="1"/>
  <c r="N45" i="2" a="1"/>
  <c r="N45" i="2" s="1"/>
  <c r="T45" i="2" a="1"/>
  <c r="T45" i="2" s="1"/>
  <c r="U45" i="2" s="1"/>
  <c r="AC45" i="2" s="1"/>
  <c r="M46" i="2" a="1"/>
  <c r="M46" i="2" s="1"/>
  <c r="Z46" i="2" s="1"/>
  <c r="N46" i="2" a="1"/>
  <c r="N46" i="2" s="1"/>
  <c r="T46" i="2" a="1"/>
  <c r="T46" i="2" s="1"/>
  <c r="U46" i="2" s="1"/>
  <c r="AC46" i="2" s="1"/>
  <c r="M47" i="2" a="1"/>
  <c r="M47" i="2" s="1"/>
  <c r="P47" i="2" s="1"/>
  <c r="N47" i="2" a="1"/>
  <c r="N47" i="2" s="1"/>
  <c r="T47" i="2" a="1"/>
  <c r="T47" i="2" s="1"/>
  <c r="U47" i="2" s="1"/>
  <c r="AC47" i="2" s="1"/>
  <c r="H48" i="2"/>
  <c r="M48" i="2" a="1"/>
  <c r="M48" i="2" s="1"/>
  <c r="P48" i="2" s="1"/>
  <c r="N48" i="2" a="1"/>
  <c r="N48" i="2" s="1"/>
  <c r="T48" i="2" a="1"/>
  <c r="T48" i="2" s="1"/>
  <c r="U48" i="2" s="1"/>
  <c r="AC48" i="2" s="1"/>
  <c r="M49" i="2" a="1"/>
  <c r="M49" i="2" s="1"/>
  <c r="N49" i="2" a="1"/>
  <c r="N49" i="2" s="1"/>
  <c r="T49" i="2" a="1"/>
  <c r="T49" i="2" s="1"/>
  <c r="U49" i="2" s="1"/>
  <c r="AC49" i="2" s="1"/>
  <c r="M50" i="2" a="1"/>
  <c r="M50" i="2" s="1"/>
  <c r="P50" i="2" s="1"/>
  <c r="AA50" i="2" s="1"/>
  <c r="N50" i="2" a="1"/>
  <c r="N50" i="2" s="1"/>
  <c r="T50" i="2" a="1"/>
  <c r="T50" i="2" s="1"/>
  <c r="U50" i="2" s="1"/>
  <c r="AC50" i="2" s="1"/>
  <c r="M51" i="2" a="1"/>
  <c r="M51" i="2" s="1"/>
  <c r="P51" i="2" s="1"/>
  <c r="AA51" i="2" s="1"/>
  <c r="N51" i="2" a="1"/>
  <c r="N51" i="2" s="1"/>
  <c r="T51" i="2" a="1"/>
  <c r="T51" i="2" s="1"/>
  <c r="U51" i="2" s="1"/>
  <c r="AC51" i="2" s="1"/>
  <c r="M52" i="2" a="1"/>
  <c r="M52" i="2" s="1"/>
  <c r="N52" i="2" a="1"/>
  <c r="N52" i="2" s="1"/>
  <c r="T52" i="2" a="1"/>
  <c r="T52" i="2" s="1"/>
  <c r="U52" i="2" s="1"/>
  <c r="AC52" i="2" s="1"/>
  <c r="M53" i="2" a="1"/>
  <c r="M53" i="2" s="1"/>
  <c r="N53" i="2" a="1"/>
  <c r="N53" i="2" s="1"/>
  <c r="T53" i="2" a="1"/>
  <c r="T53" i="2" s="1"/>
  <c r="U53" i="2" s="1"/>
  <c r="AC53" i="2" s="1"/>
  <c r="M54" i="2" a="1"/>
  <c r="M54" i="2" s="1"/>
  <c r="N54" i="2" a="1"/>
  <c r="N54" i="2" s="1"/>
  <c r="T54" i="2" a="1"/>
  <c r="T54" i="2" s="1"/>
  <c r="U54" i="2" s="1"/>
  <c r="AC54" i="2" s="1"/>
  <c r="M55" i="2" a="1"/>
  <c r="M55" i="2" s="1"/>
  <c r="N55" i="2" a="1"/>
  <c r="N55" i="2" s="1"/>
  <c r="T55" i="2" a="1"/>
  <c r="T55" i="2" s="1"/>
  <c r="U55" i="2" s="1"/>
  <c r="AC55" i="2" s="1"/>
  <c r="M56" i="2" a="1"/>
  <c r="M56" i="2" s="1"/>
  <c r="N56" i="2" a="1"/>
  <c r="N56" i="2" s="1"/>
  <c r="T56" i="2" a="1"/>
  <c r="T56" i="2" s="1"/>
  <c r="U56" i="2" s="1"/>
  <c r="AC56" i="2" s="1"/>
  <c r="M57" i="2" a="1"/>
  <c r="M57" i="2" s="1"/>
  <c r="P57" i="2" s="1"/>
  <c r="N57" i="2" a="1"/>
  <c r="N57" i="2" s="1"/>
  <c r="T57" i="2" a="1"/>
  <c r="T57" i="2" s="1"/>
  <c r="U57" i="2" s="1"/>
  <c r="AC57" i="2" s="1"/>
  <c r="M58" i="2" a="1"/>
  <c r="M58" i="2" s="1"/>
  <c r="N58" i="2" a="1"/>
  <c r="N58" i="2" s="1"/>
  <c r="T58" i="2" a="1"/>
  <c r="T58" i="2" s="1"/>
  <c r="U58" i="2" s="1"/>
  <c r="AC58" i="2" s="1"/>
  <c r="M59" i="2" a="1"/>
  <c r="M59" i="2" s="1"/>
  <c r="P59" i="2" s="1"/>
  <c r="N59" i="2" a="1"/>
  <c r="N59" i="2" s="1"/>
  <c r="T59" i="2" a="1"/>
  <c r="T59" i="2" s="1"/>
  <c r="U59" i="2" s="1"/>
  <c r="AC59" i="2" s="1"/>
  <c r="M60" i="2" a="1"/>
  <c r="M60" i="2" s="1"/>
  <c r="N60" i="2" a="1"/>
  <c r="N60" i="2" s="1"/>
  <c r="T60" i="2" a="1"/>
  <c r="T60" i="2" s="1"/>
  <c r="U60" i="2" s="1"/>
  <c r="AC60" i="2" s="1"/>
  <c r="M61" i="2" a="1"/>
  <c r="M61" i="2" s="1"/>
  <c r="N61" i="2" a="1"/>
  <c r="N61" i="2" s="1"/>
  <c r="T61" i="2" a="1"/>
  <c r="T61" i="2" s="1"/>
  <c r="U61" i="2" s="1"/>
  <c r="AC61" i="2" s="1"/>
  <c r="I62" i="2"/>
  <c r="M62" i="2" a="1"/>
  <c r="M62" i="2" s="1"/>
  <c r="N62" i="2" a="1"/>
  <c r="N62" i="2" s="1"/>
  <c r="T62" i="2" a="1"/>
  <c r="T62" i="2" s="1"/>
  <c r="U62" i="2" s="1"/>
  <c r="AC62" i="2" s="1"/>
  <c r="H63" i="2"/>
  <c r="M63" i="2" a="1"/>
  <c r="M63" i="2" s="1"/>
  <c r="N63" i="2" a="1"/>
  <c r="N63" i="2" s="1"/>
  <c r="T63" i="2" a="1"/>
  <c r="T63" i="2" s="1"/>
  <c r="U63" i="2" s="1"/>
  <c r="AC63" i="2" s="1"/>
  <c r="M64" i="2" a="1"/>
  <c r="M64" i="2" s="1"/>
  <c r="N64" i="2" a="1"/>
  <c r="N64" i="2" s="1"/>
  <c r="T64" i="2" a="1"/>
  <c r="T64" i="2" s="1"/>
  <c r="U64" i="2" s="1"/>
  <c r="AC64" i="2" s="1"/>
  <c r="M65" i="2" a="1"/>
  <c r="M65" i="2" s="1"/>
  <c r="N65" i="2" a="1"/>
  <c r="N65" i="2" s="1"/>
  <c r="T65" i="2" a="1"/>
  <c r="T65" i="2" s="1"/>
  <c r="U65" i="2" s="1"/>
  <c r="AC65" i="2" s="1"/>
  <c r="M66" i="2" a="1"/>
  <c r="M66" i="2" s="1"/>
  <c r="N66" i="2" a="1"/>
  <c r="N66" i="2" s="1"/>
  <c r="T66" i="2" a="1"/>
  <c r="T66" i="2" s="1"/>
  <c r="U66" i="2" s="1"/>
  <c r="AC66" i="2" s="1"/>
  <c r="M67" i="2" a="1"/>
  <c r="M67" i="2" s="1"/>
  <c r="N67" i="2" a="1"/>
  <c r="N67" i="2" s="1"/>
  <c r="T67" i="2" a="1"/>
  <c r="T67" i="2" s="1"/>
  <c r="U67" i="2" s="1"/>
  <c r="AC67" i="2" s="1"/>
  <c r="M68" i="2" a="1"/>
  <c r="M68" i="2" s="1"/>
  <c r="N68" i="2" a="1"/>
  <c r="N68" i="2" s="1"/>
  <c r="T68" i="2" a="1"/>
  <c r="T68" i="2" s="1"/>
  <c r="U68" i="2" s="1"/>
  <c r="AC68" i="2" s="1"/>
  <c r="M69" i="2" a="1"/>
  <c r="M69" i="2" s="1"/>
  <c r="N69" i="2" a="1"/>
  <c r="N69" i="2" s="1"/>
  <c r="T69" i="2" a="1"/>
  <c r="T69" i="2" s="1"/>
  <c r="U69" i="2" s="1"/>
  <c r="AC69" i="2" s="1"/>
  <c r="M70" i="2" a="1"/>
  <c r="M70" i="2" s="1"/>
  <c r="N70" i="2" a="1"/>
  <c r="N70" i="2" s="1"/>
  <c r="T70" i="2" a="1"/>
  <c r="T70" i="2" s="1"/>
  <c r="U70" i="2" s="1"/>
  <c r="AC70" i="2" s="1"/>
  <c r="M71" i="2" a="1"/>
  <c r="M71" i="2" s="1"/>
  <c r="N71" i="2" a="1"/>
  <c r="N71" i="2" s="1"/>
  <c r="T71" i="2" a="1"/>
  <c r="T71" i="2" s="1"/>
  <c r="U71" i="2" s="1"/>
  <c r="AC71" i="2" s="1"/>
  <c r="M72" i="2" a="1"/>
  <c r="M72" i="2" s="1"/>
  <c r="P72" i="2" s="1"/>
  <c r="N72" i="2" a="1"/>
  <c r="N72" i="2" s="1"/>
  <c r="T72" i="2" a="1"/>
  <c r="T72" i="2" s="1"/>
  <c r="U72" i="2" s="1"/>
  <c r="AC72" i="2" s="1"/>
  <c r="M73" i="2" a="1"/>
  <c r="M73" i="2" s="1"/>
  <c r="N73" i="2" a="1"/>
  <c r="N73" i="2" s="1"/>
  <c r="T73" i="2" a="1"/>
  <c r="T73" i="2" s="1"/>
  <c r="U73" i="2" s="1"/>
  <c r="AC73" i="2" s="1"/>
  <c r="M74" i="2" a="1"/>
  <c r="M74" i="2" s="1"/>
  <c r="N74" i="2" a="1"/>
  <c r="N74" i="2" s="1"/>
  <c r="T74" i="2" a="1"/>
  <c r="T74" i="2" s="1"/>
  <c r="U74" i="2" s="1"/>
  <c r="AC74" i="2" s="1"/>
  <c r="M75" i="2" a="1"/>
  <c r="M75" i="2" s="1"/>
  <c r="N75" i="2" a="1"/>
  <c r="N75" i="2" s="1"/>
  <c r="T75" i="2" a="1"/>
  <c r="T75" i="2" s="1"/>
  <c r="U75" i="2" s="1"/>
  <c r="AC75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  <c r="B32" i="2" a="1"/>
  <c r="B32" i="2" s="1"/>
  <c r="B33" i="2" a="1"/>
  <c r="B33" i="2" s="1"/>
  <c r="B34" i="2" a="1"/>
  <c r="B34" i="2" s="1"/>
  <c r="B35" i="2" a="1"/>
  <c r="B35" i="2" s="1"/>
  <c r="B36" i="2" a="1"/>
  <c r="B36" i="2" s="1"/>
  <c r="B37" i="2" a="1"/>
  <c r="B37" i="2" s="1"/>
  <c r="B38" i="2" a="1"/>
  <c r="B38" i="2" s="1"/>
  <c r="B39" i="2" a="1"/>
  <c r="B39" i="2" s="1"/>
  <c r="B40" i="2" a="1"/>
  <c r="B40" i="2" s="1"/>
  <c r="B41" i="2" a="1"/>
  <c r="B41" i="2" s="1"/>
  <c r="B42" i="2" a="1"/>
  <c r="B42" i="2" s="1"/>
  <c r="B43" i="2" a="1"/>
  <c r="B43" i="2" s="1"/>
  <c r="B44" i="2" a="1"/>
  <c r="B44" i="2" s="1"/>
  <c r="B45" i="2" a="1"/>
  <c r="B45" i="2" s="1"/>
  <c r="B46" i="2" a="1"/>
  <c r="B46" i="2" s="1"/>
  <c r="B47" i="2" a="1"/>
  <c r="B47" i="2" s="1"/>
  <c r="B48" i="2" a="1"/>
  <c r="B48" i="2" s="1"/>
  <c r="B49" i="2" a="1"/>
  <c r="B49" i="2" s="1"/>
  <c r="B50" i="2" a="1"/>
  <c r="B50" i="2" s="1"/>
  <c r="B51" i="2" a="1"/>
  <c r="B51" i="2" s="1"/>
  <c r="B52" i="2" a="1"/>
  <c r="B52" i="2" s="1"/>
  <c r="B53" i="2" a="1"/>
  <c r="B53" i="2" s="1"/>
  <c r="B54" i="2" a="1"/>
  <c r="B54" i="2" s="1"/>
  <c r="B55" i="2" a="1"/>
  <c r="B55" i="2" s="1"/>
  <c r="B56" i="2" a="1"/>
  <c r="B56" i="2" s="1"/>
  <c r="B57" i="2" a="1"/>
  <c r="B57" i="2" s="1"/>
  <c r="B58" i="2" a="1"/>
  <c r="B58" i="2" s="1"/>
  <c r="B59" i="2" a="1"/>
  <c r="B59" i="2" s="1"/>
  <c r="B60" i="2" a="1"/>
  <c r="B60" i="2" s="1"/>
  <c r="B61" i="2" a="1"/>
  <c r="B61" i="2" s="1"/>
  <c r="B62" i="2" a="1"/>
  <c r="B62" i="2" s="1"/>
  <c r="B63" i="2" a="1"/>
  <c r="B63" i="2" s="1"/>
  <c r="B64" i="2" a="1"/>
  <c r="B64" i="2" s="1"/>
  <c r="B65" i="2" a="1"/>
  <c r="B65" i="2" s="1"/>
  <c r="B66" i="2" a="1"/>
  <c r="B66" i="2" s="1"/>
  <c r="B67" i="2" a="1"/>
  <c r="B67" i="2" s="1"/>
  <c r="B68" i="2" a="1"/>
  <c r="B68" i="2" s="1"/>
  <c r="B69" i="2" a="1"/>
  <c r="B69" i="2" s="1"/>
  <c r="B70" i="2" a="1"/>
  <c r="B70" i="2" s="1"/>
  <c r="B71" i="2" a="1"/>
  <c r="B71" i="2" s="1"/>
  <c r="B72" i="2" a="1"/>
  <c r="B72" i="2" s="1"/>
  <c r="B73" i="2" a="1"/>
  <c r="B73" i="2" s="1"/>
  <c r="B74" i="2" a="1"/>
  <c r="B74" i="2" s="1"/>
  <c r="B75" i="2" a="1"/>
  <c r="B75" i="2" s="1"/>
  <c r="B5" i="2" a="1"/>
  <c r="B5" i="2" s="1"/>
  <c r="B6" i="2" a="1"/>
  <c r="B6" i="2" s="1"/>
  <c r="B7" i="2" a="1"/>
  <c r="B7" i="2" s="1"/>
  <c r="B8" i="2" a="1"/>
  <c r="B8" i="2" s="1"/>
  <c r="B4" i="2" a="1"/>
  <c r="B4" i="2" s="1"/>
  <c r="AD4" i="2"/>
  <c r="T6" i="2" a="1"/>
  <c r="T6" i="2" s="1"/>
  <c r="U6" i="2" s="1"/>
  <c r="T5" i="2" a="1"/>
  <c r="T5" i="2" s="1"/>
  <c r="U5" i="2" s="1"/>
  <c r="Z9" i="2"/>
  <c r="M8" i="2" a="1"/>
  <c r="M8" i="2" s="1"/>
  <c r="P8" i="2" s="1"/>
  <c r="M7" i="2" a="1"/>
  <c r="M7" i="2" s="1"/>
  <c r="M6" i="2" a="1"/>
  <c r="M6" i="2" s="1"/>
  <c r="P6" i="2" s="1"/>
  <c r="M5" i="2" a="1"/>
  <c r="M5" i="2" s="1"/>
  <c r="N8" i="2" a="1"/>
  <c r="N8" i="2" s="1"/>
  <c r="N5" i="2" a="1"/>
  <c r="N5" i="2" s="1"/>
  <c r="N6" i="2" a="1"/>
  <c r="N6" i="2" s="1"/>
  <c r="N7" i="2" a="1"/>
  <c r="N7" i="2" s="1"/>
  <c r="H8" i="2"/>
  <c r="AD13" i="2"/>
  <c r="AD12" i="2"/>
  <c r="AD11" i="2"/>
  <c r="AD10" i="2"/>
  <c r="AD9" i="2"/>
  <c r="AD8" i="2"/>
  <c r="AD7" i="2"/>
  <c r="AD6" i="2"/>
  <c r="AD5" i="2"/>
  <c r="B12" i="1"/>
  <c r="Z51" i="2" l="1"/>
  <c r="Z42" i="2"/>
  <c r="H62" i="2"/>
  <c r="J42" i="2" a="1"/>
  <c r="J42" i="2" s="1"/>
  <c r="J34" i="2" a="1"/>
  <c r="J34" i="2" s="1"/>
  <c r="Z74" i="2"/>
  <c r="Z47" i="2"/>
  <c r="Z22" i="2"/>
  <c r="Z75" i="2"/>
  <c r="Z20" i="2"/>
  <c r="I33" i="2"/>
  <c r="J12" i="2" a="1"/>
  <c r="J12" i="2" s="1"/>
  <c r="Z18" i="2"/>
  <c r="J36" i="2" a="1"/>
  <c r="J36" i="2" s="1"/>
  <c r="Z40" i="2"/>
  <c r="Z16" i="2"/>
  <c r="Z34" i="2"/>
  <c r="J26" i="2" a="1"/>
  <c r="J26" i="2" s="1"/>
  <c r="AB16" i="2"/>
  <c r="J74" i="2" a="1"/>
  <c r="J74" i="2" s="1"/>
  <c r="Z44" i="2"/>
  <c r="AB10" i="2"/>
  <c r="I28" i="2"/>
  <c r="AB57" i="2"/>
  <c r="J44" i="2" a="1"/>
  <c r="J44" i="2" s="1"/>
  <c r="AB26" i="2"/>
  <c r="AB48" i="2"/>
  <c r="AB24" i="2"/>
  <c r="J40" i="2" a="1"/>
  <c r="J40" i="2" s="1"/>
  <c r="Y40" i="2" s="1"/>
  <c r="AB46" i="2"/>
  <c r="AB13" i="2"/>
  <c r="I63" i="2"/>
  <c r="AB58" i="2"/>
  <c r="AB8" i="2"/>
  <c r="AB6" i="2"/>
  <c r="I74" i="2"/>
  <c r="Z70" i="2"/>
  <c r="I48" i="2"/>
  <c r="I24" i="2"/>
  <c r="Z67" i="2"/>
  <c r="AA57" i="2"/>
  <c r="I18" i="2"/>
  <c r="Z58" i="2"/>
  <c r="I59" i="2"/>
  <c r="Z55" i="2"/>
  <c r="AB52" i="2"/>
  <c r="I58" i="2"/>
  <c r="I34" i="2"/>
  <c r="I32" i="2"/>
  <c r="I30" i="2"/>
  <c r="AA41" i="2"/>
  <c r="Z49" i="2"/>
  <c r="I52" i="2"/>
  <c r="H28" i="2"/>
  <c r="AB40" i="2"/>
  <c r="AB38" i="2"/>
  <c r="AB14" i="2"/>
  <c r="AB36" i="2"/>
  <c r="AB12" i="2"/>
  <c r="AB34" i="2"/>
  <c r="AB30" i="2"/>
  <c r="AB39" i="2"/>
  <c r="AB15" i="2"/>
  <c r="AB62" i="2"/>
  <c r="AB37" i="2"/>
  <c r="AB35" i="2"/>
  <c r="AB11" i="2"/>
  <c r="AB33" i="2"/>
  <c r="AB55" i="2"/>
  <c r="AB31" i="2"/>
  <c r="AB7" i="2"/>
  <c r="AB53" i="2"/>
  <c r="AB29" i="2"/>
  <c r="AB5" i="2"/>
  <c r="AB54" i="2"/>
  <c r="AB75" i="2"/>
  <c r="AB51" i="2"/>
  <c r="AB27" i="2"/>
  <c r="AB74" i="2"/>
  <c r="AB73" i="2"/>
  <c r="AB49" i="2"/>
  <c r="AB25" i="2"/>
  <c r="AB71" i="2"/>
  <c r="AB47" i="2"/>
  <c r="AB23" i="2"/>
  <c r="AB70" i="2"/>
  <c r="AB72" i="2"/>
  <c r="AB69" i="2"/>
  <c r="AB45" i="2"/>
  <c r="AB21" i="2"/>
  <c r="AB67" i="2"/>
  <c r="AB43" i="2"/>
  <c r="AB19" i="2"/>
  <c r="AB65" i="2"/>
  <c r="AB41" i="2"/>
  <c r="AB17" i="2"/>
  <c r="AB4" i="2"/>
  <c r="AA37" i="2"/>
  <c r="AA48" i="2"/>
  <c r="AA28" i="2"/>
  <c r="P60" i="2"/>
  <c r="AA60" i="2" s="1"/>
  <c r="AA26" i="2"/>
  <c r="AA72" i="2"/>
  <c r="AA24" i="2"/>
  <c r="AA47" i="2"/>
  <c r="P43" i="2"/>
  <c r="AA43" i="2" s="1"/>
  <c r="P15" i="2"/>
  <c r="AA15" i="2" s="1"/>
  <c r="AA22" i="2"/>
  <c r="AA44" i="2"/>
  <c r="AA20" i="2"/>
  <c r="P42" i="2"/>
  <c r="AA42" i="2" s="1"/>
  <c r="AA40" i="2"/>
  <c r="AA16" i="2"/>
  <c r="AA38" i="2"/>
  <c r="AA14" i="2"/>
  <c r="AA36" i="2"/>
  <c r="AA59" i="2"/>
  <c r="AA34" i="2"/>
  <c r="AA30" i="2"/>
  <c r="P25" i="2"/>
  <c r="AA25" i="2" s="1"/>
  <c r="P65" i="2"/>
  <c r="AA65" i="2" s="1"/>
  <c r="P68" i="2"/>
  <c r="AA68" i="2" s="1"/>
  <c r="P39" i="2"/>
  <c r="AA39" i="2" s="1"/>
  <c r="P63" i="2"/>
  <c r="AA63" i="2" s="1"/>
  <c r="P55" i="2"/>
  <c r="AA55" i="2" s="1"/>
  <c r="P29" i="2"/>
  <c r="AA29" i="2" s="1"/>
  <c r="P75" i="2"/>
  <c r="AA75" i="2" s="1"/>
  <c r="P46" i="2"/>
  <c r="AA46" i="2" s="1"/>
  <c r="P19" i="2"/>
  <c r="AA19" i="2" s="1"/>
  <c r="P5" i="2"/>
  <c r="AA5" i="2" s="1"/>
  <c r="P71" i="2"/>
  <c r="AA71" i="2" s="1"/>
  <c r="P33" i="2"/>
  <c r="AA33" i="2" s="1"/>
  <c r="P7" i="2"/>
  <c r="AA7" i="2" s="1"/>
  <c r="P62" i="2"/>
  <c r="AA62" i="2" s="1"/>
  <c r="P58" i="2"/>
  <c r="AA58" i="2" s="1"/>
  <c r="P54" i="2"/>
  <c r="AA54" i="2" s="1"/>
  <c r="P23" i="2"/>
  <c r="AA23" i="2" s="1"/>
  <c r="P67" i="2"/>
  <c r="AA67" i="2" s="1"/>
  <c r="P56" i="2"/>
  <c r="AA56" i="2" s="1"/>
  <c r="P66" i="2"/>
  <c r="AA66" i="2" s="1"/>
  <c r="P45" i="2"/>
  <c r="AA45" i="2" s="1"/>
  <c r="P18" i="2"/>
  <c r="AA18" i="2" s="1"/>
  <c r="P9" i="2"/>
  <c r="P74" i="2"/>
  <c r="AA74" i="2" s="1"/>
  <c r="P70" i="2"/>
  <c r="AA70" i="2" s="1"/>
  <c r="P32" i="2"/>
  <c r="AA32" i="2" s="1"/>
  <c r="P49" i="2"/>
  <c r="AA49" i="2" s="1"/>
  <c r="P27" i="2"/>
  <c r="AA27" i="2" s="1"/>
  <c r="P13" i="2"/>
  <c r="AA13" i="2" s="1"/>
  <c r="P61" i="2"/>
  <c r="AA61" i="2" s="1"/>
  <c r="P53" i="2"/>
  <c r="AA53" i="2" s="1"/>
  <c r="P73" i="2"/>
  <c r="AA73" i="2" s="1"/>
  <c r="P31" i="2"/>
  <c r="AA31" i="2" s="1"/>
  <c r="P69" i="2"/>
  <c r="AA69" i="2" s="1"/>
  <c r="P21" i="2"/>
  <c r="AA21" i="2" s="1"/>
  <c r="P12" i="2"/>
  <c r="AA12" i="2" s="1"/>
  <c r="P64" i="2"/>
  <c r="AA64" i="2" s="1"/>
  <c r="P52" i="2"/>
  <c r="AA52" i="2" s="1"/>
  <c r="P35" i="2"/>
  <c r="AA35" i="2" s="1"/>
  <c r="P16" i="2"/>
  <c r="Z56" i="2"/>
  <c r="Z30" i="2"/>
  <c r="Z38" i="2"/>
  <c r="Z14" i="2"/>
  <c r="Z36" i="2"/>
  <c r="Z52" i="2"/>
  <c r="Z28" i="2"/>
  <c r="Z50" i="2"/>
  <c r="Z26" i="2"/>
  <c r="Z48" i="2"/>
  <c r="Z24" i="2"/>
  <c r="Z65" i="2"/>
  <c r="Z41" i="2"/>
  <c r="Z17" i="2"/>
  <c r="Z68" i="2"/>
  <c r="Z63" i="2"/>
  <c r="Z39" i="2"/>
  <c r="Z15" i="2"/>
  <c r="Z66" i="2"/>
  <c r="Z64" i="2"/>
  <c r="Z62" i="2"/>
  <c r="Z61" i="2"/>
  <c r="Z37" i="2"/>
  <c r="Z13" i="2"/>
  <c r="Z72" i="2"/>
  <c r="Z60" i="2"/>
  <c r="Z59" i="2"/>
  <c r="Z35" i="2"/>
  <c r="Z11" i="2"/>
  <c r="Z57" i="2"/>
  <c r="Z33" i="2"/>
  <c r="Z31" i="2"/>
  <c r="Z53" i="2"/>
  <c r="Z29" i="2"/>
  <c r="Z32" i="2"/>
  <c r="Z54" i="2"/>
  <c r="Z27" i="2"/>
  <c r="Z73" i="2"/>
  <c r="Z25" i="2"/>
  <c r="Z71" i="2"/>
  <c r="Z23" i="2"/>
  <c r="Z69" i="2"/>
  <c r="Z21" i="2"/>
  <c r="Z43" i="2"/>
  <c r="Z19" i="2"/>
  <c r="I40" i="2"/>
  <c r="I16" i="2"/>
  <c r="H46" i="2"/>
  <c r="Y46" i="2" s="1"/>
  <c r="I36" i="2"/>
  <c r="I56" i="2"/>
  <c r="H56" i="2"/>
  <c r="Y56" i="2" s="1"/>
  <c r="I46" i="2"/>
  <c r="I66" i="2"/>
  <c r="I55" i="2"/>
  <c r="H61" i="2"/>
  <c r="H64" i="2"/>
  <c r="H60" i="2"/>
  <c r="Y60" i="2" s="1"/>
  <c r="H59" i="2"/>
  <c r="Y59" i="2" s="1"/>
  <c r="I60" i="2"/>
  <c r="H58" i="2"/>
  <c r="Y58" i="2" s="1"/>
  <c r="I75" i="2"/>
  <c r="I51" i="2"/>
  <c r="I73" i="2"/>
  <c r="I49" i="2"/>
  <c r="I71" i="2"/>
  <c r="I47" i="2"/>
  <c r="H75" i="2"/>
  <c r="H51" i="2"/>
  <c r="I67" i="2"/>
  <c r="I19" i="2"/>
  <c r="Y19" i="2" s="1"/>
  <c r="H73" i="2"/>
  <c r="I65" i="2"/>
  <c r="Y65" i="2" s="1"/>
  <c r="H71" i="2"/>
  <c r="I39" i="2"/>
  <c r="I61" i="2"/>
  <c r="Y61" i="2" s="1"/>
  <c r="H67" i="2"/>
  <c r="Y44" i="2"/>
  <c r="H43" i="2"/>
  <c r="Y28" i="2"/>
  <c r="H55" i="2"/>
  <c r="Y55" i="2" s="1"/>
  <c r="H53" i="2"/>
  <c r="H70" i="2"/>
  <c r="I57" i="2"/>
  <c r="Y74" i="2"/>
  <c r="Y36" i="2"/>
  <c r="Y26" i="2"/>
  <c r="Y42" i="2"/>
  <c r="H11" i="2"/>
  <c r="H10" i="2"/>
  <c r="I10" i="2"/>
  <c r="I43" i="2"/>
  <c r="Z10" i="2"/>
  <c r="I35" i="2"/>
  <c r="H69" i="2"/>
  <c r="H17" i="2"/>
  <c r="I69" i="2"/>
  <c r="I17" i="2"/>
  <c r="H39" i="2"/>
  <c r="Y39" i="2" s="1"/>
  <c r="H25" i="2"/>
  <c r="H49" i="2"/>
  <c r="I25" i="2"/>
  <c r="Y34" i="2"/>
  <c r="H31" i="2"/>
  <c r="H13" i="2"/>
  <c r="Y13" i="2" s="1"/>
  <c r="I31" i="2"/>
  <c r="H29" i="2"/>
  <c r="I29" i="2"/>
  <c r="H9" i="2"/>
  <c r="I9" i="2"/>
  <c r="H35" i="2"/>
  <c r="I22" i="2"/>
  <c r="I20" i="2"/>
  <c r="Y20" i="2" s="1"/>
  <c r="H16" i="2"/>
  <c r="Y16" i="2" s="1"/>
  <c r="I21" i="2"/>
  <c r="Y67" i="2"/>
  <c r="H66" i="2"/>
  <c r="Y66" i="2" s="1"/>
  <c r="H57" i="2"/>
  <c r="Y49" i="2"/>
  <c r="Y10" i="2"/>
  <c r="Y71" i="2"/>
  <c r="H23" i="2"/>
  <c r="I23" i="2"/>
  <c r="Y63" i="2"/>
  <c r="H33" i="2"/>
  <c r="Y33" i="2" s="1"/>
  <c r="H20" i="2"/>
  <c r="H30" i="2"/>
  <c r="Y30" i="2" s="1"/>
  <c r="AE30" i="2" s="1"/>
  <c r="I53" i="2"/>
  <c r="H27" i="2"/>
  <c r="H14" i="2"/>
  <c r="Y14" i="2" s="1"/>
  <c r="I27" i="2"/>
  <c r="Y27" i="2" s="1"/>
  <c r="H72" i="2"/>
  <c r="H54" i="2"/>
  <c r="I72" i="2"/>
  <c r="I54" i="2"/>
  <c r="H24" i="2"/>
  <c r="Y24" i="2" s="1"/>
  <c r="I37" i="2"/>
  <c r="Y37" i="2" s="1"/>
  <c r="H21" i="2"/>
  <c r="I11" i="2"/>
  <c r="H68" i="2"/>
  <c r="I64" i="2"/>
  <c r="Y64" i="2" s="1"/>
  <c r="H50" i="2"/>
  <c r="I45" i="2"/>
  <c r="H18" i="2"/>
  <c r="Y18" i="2" s="1"/>
  <c r="I68" i="2"/>
  <c r="I50" i="2"/>
  <c r="H15" i="2"/>
  <c r="I15" i="2"/>
  <c r="H41" i="2"/>
  <c r="Y41" i="2" s="1"/>
  <c r="H38" i="2"/>
  <c r="Y38" i="2" s="1"/>
  <c r="H22" i="2"/>
  <c r="I70" i="2"/>
  <c r="H52" i="2"/>
  <c r="Y52" i="2" s="1"/>
  <c r="Y62" i="2"/>
  <c r="Y48" i="2"/>
  <c r="AE48" i="2" s="1"/>
  <c r="AF48" i="2" s="1"/>
  <c r="H47" i="2"/>
  <c r="Y47" i="2" s="1"/>
  <c r="AE47" i="2" s="1"/>
  <c r="AF47" i="2" s="1"/>
  <c r="H32" i="2"/>
  <c r="AC11" i="2"/>
  <c r="AC9" i="2"/>
  <c r="AC12" i="2"/>
  <c r="AC10" i="2"/>
  <c r="Y12" i="2"/>
  <c r="I7" i="2"/>
  <c r="Y8" i="2"/>
  <c r="AC5" i="2"/>
  <c r="AC7" i="2"/>
  <c r="AC8" i="2"/>
  <c r="AC6" i="2"/>
  <c r="AC4" i="2"/>
  <c r="I5" i="2"/>
  <c r="I6" i="2"/>
  <c r="Z12" i="2"/>
  <c r="AA9" i="2"/>
  <c r="AA10" i="2"/>
  <c r="AA11" i="2"/>
  <c r="H7" i="2"/>
  <c r="I8" i="2"/>
  <c r="AA8" i="2"/>
  <c r="AA6" i="2"/>
  <c r="AA4" i="2"/>
  <c r="Z7" i="2"/>
  <c r="Z6" i="2"/>
  <c r="Z5" i="2"/>
  <c r="Z8" i="2"/>
  <c r="Z4" i="2"/>
  <c r="H6" i="2"/>
  <c r="H5" i="2"/>
  <c r="AE39" i="2" l="1"/>
  <c r="AG39" i="2" s="1"/>
  <c r="AE16" i="2"/>
  <c r="AG16" i="2" s="1"/>
  <c r="AE28" i="2"/>
  <c r="AF28" i="2" s="1"/>
  <c r="Y32" i="2"/>
  <c r="AE26" i="2"/>
  <c r="AE24" i="2"/>
  <c r="AF24" i="2" s="1"/>
  <c r="Y7" i="2"/>
  <c r="Y50" i="2"/>
  <c r="AE50" i="2" s="1"/>
  <c r="AF50" i="2" s="1"/>
  <c r="AE44" i="2"/>
  <c r="AF44" i="2" s="1"/>
  <c r="AE38" i="2"/>
  <c r="AE14" i="2"/>
  <c r="AE36" i="2"/>
  <c r="AF36" i="2" s="1"/>
  <c r="AE40" i="2"/>
  <c r="AG40" i="2" s="1"/>
  <c r="AE49" i="2"/>
  <c r="AG49" i="2" s="1"/>
  <c r="AE42" i="2"/>
  <c r="AG42" i="2" s="1"/>
  <c r="AE56" i="2"/>
  <c r="AF56" i="2" s="1"/>
  <c r="AE67" i="2"/>
  <c r="AG67" i="2" s="1"/>
  <c r="AE59" i="2"/>
  <c r="AG59" i="2" s="1"/>
  <c r="AE52" i="2"/>
  <c r="AF52" i="2" s="1"/>
  <c r="AE74" i="2"/>
  <c r="AF74" i="2" s="1"/>
  <c r="AE20" i="2"/>
  <c r="AF20" i="2" s="1"/>
  <c r="AE63" i="2"/>
  <c r="AF63" i="2" s="1"/>
  <c r="AE34" i="2"/>
  <c r="AF34" i="2" s="1"/>
  <c r="AE65" i="2"/>
  <c r="AF65" i="2" s="1"/>
  <c r="AE19" i="2"/>
  <c r="AG19" i="2" s="1"/>
  <c r="AE55" i="2"/>
  <c r="AG55" i="2" s="1"/>
  <c r="AE58" i="2"/>
  <c r="AF58" i="2" s="1"/>
  <c r="AE46" i="2"/>
  <c r="AF46" i="2" s="1"/>
  <c r="AE18" i="2"/>
  <c r="AF18" i="2" s="1"/>
  <c r="AE66" i="2"/>
  <c r="AG66" i="2" s="1"/>
  <c r="AE37" i="2"/>
  <c r="AF37" i="2" s="1"/>
  <c r="AE61" i="2"/>
  <c r="AG61" i="2" s="1"/>
  <c r="AE32" i="2"/>
  <c r="AF32" i="2" s="1"/>
  <c r="AE13" i="2"/>
  <c r="AG13" i="2" s="1"/>
  <c r="AE62" i="2"/>
  <c r="AF62" i="2" s="1"/>
  <c r="AE27" i="2"/>
  <c r="AF27" i="2" s="1"/>
  <c r="AE71" i="2"/>
  <c r="AG71" i="2" s="1"/>
  <c r="AE41" i="2"/>
  <c r="AF41" i="2" s="1"/>
  <c r="AE33" i="2"/>
  <c r="AF33" i="2" s="1"/>
  <c r="AE64" i="2"/>
  <c r="AF64" i="2" s="1"/>
  <c r="AE60" i="2"/>
  <c r="AF60" i="2" s="1"/>
  <c r="Y43" i="2"/>
  <c r="AE43" i="2" s="1"/>
  <c r="AG43" i="2" s="1"/>
  <c r="Y73" i="2"/>
  <c r="AE73" i="2" s="1"/>
  <c r="AG73" i="2" s="1"/>
  <c r="Y75" i="2"/>
  <c r="AE75" i="2" s="1"/>
  <c r="AF75" i="2" s="1"/>
  <c r="Y70" i="2"/>
  <c r="AE70" i="2" s="1"/>
  <c r="AF70" i="2" s="1"/>
  <c r="Y53" i="2"/>
  <c r="AE53" i="2" s="1"/>
  <c r="AG53" i="2" s="1"/>
  <c r="Y51" i="2"/>
  <c r="AE51" i="2" s="1"/>
  <c r="AG51" i="2" s="1"/>
  <c r="Y45" i="2"/>
  <c r="AE45" i="2" s="1"/>
  <c r="AG45" i="2" s="1"/>
  <c r="Y9" i="2"/>
  <c r="AE9" i="2" s="1"/>
  <c r="AG9" i="2" s="1"/>
  <c r="Y17" i="2"/>
  <c r="AE17" i="2" s="1"/>
  <c r="AF17" i="2" s="1"/>
  <c r="Y69" i="2"/>
  <c r="AE69" i="2" s="1"/>
  <c r="AF69" i="2" s="1"/>
  <c r="Y54" i="2"/>
  <c r="AE54" i="2" s="1"/>
  <c r="AF54" i="2" s="1"/>
  <c r="Y21" i="2"/>
  <c r="AE21" i="2" s="1"/>
  <c r="AF21" i="2" s="1"/>
  <c r="Y35" i="2"/>
  <c r="AE35" i="2" s="1"/>
  <c r="AF35" i="2" s="1"/>
  <c r="Y72" i="2"/>
  <c r="AE72" i="2" s="1"/>
  <c r="AF72" i="2" s="1"/>
  <c r="Y22" i="2"/>
  <c r="AE22" i="2" s="1"/>
  <c r="AF22" i="2" s="1"/>
  <c r="Y68" i="2"/>
  <c r="AE68" i="2" s="1"/>
  <c r="AF68" i="2" s="1"/>
  <c r="Y29" i="2"/>
  <c r="AE29" i="2" s="1"/>
  <c r="AG29" i="2" s="1"/>
  <c r="Y57" i="2"/>
  <c r="AE57" i="2" s="1"/>
  <c r="AF57" i="2" s="1"/>
  <c r="Y15" i="2"/>
  <c r="AE15" i="2" s="1"/>
  <c r="AF15" i="2" s="1"/>
  <c r="Y31" i="2"/>
  <c r="AE31" i="2" s="1"/>
  <c r="AF31" i="2" s="1"/>
  <c r="Y23" i="2"/>
  <c r="AE23" i="2" s="1"/>
  <c r="AF23" i="2" s="1"/>
  <c r="Y25" i="2"/>
  <c r="AE25" i="2" s="1"/>
  <c r="AF25" i="2" s="1"/>
  <c r="Y5" i="2"/>
  <c r="AE5" i="2" s="1"/>
  <c r="AG5" i="2" s="1"/>
  <c r="AG28" i="2"/>
  <c r="Y6" i="2"/>
  <c r="AE6" i="2" s="1"/>
  <c r="AG6" i="2" s="1"/>
  <c r="AG26" i="2"/>
  <c r="AF26" i="2"/>
  <c r="AG47" i="2"/>
  <c r="AF16" i="2"/>
  <c r="AG36" i="2"/>
  <c r="AG50" i="2"/>
  <c r="AF39" i="2"/>
  <c r="AG48" i="2"/>
  <c r="AE10" i="2"/>
  <c r="AG10" i="2" s="1"/>
  <c r="AG24" i="2"/>
  <c r="AF38" i="2"/>
  <c r="AG38" i="2"/>
  <c r="AF14" i="2"/>
  <c r="AG14" i="2"/>
  <c r="AF30" i="2"/>
  <c r="AG30" i="2"/>
  <c r="AE12" i="2"/>
  <c r="AG12" i="2" s="1"/>
  <c r="Y11" i="2"/>
  <c r="AE11" i="2" s="1"/>
  <c r="AG11" i="2" s="1"/>
  <c r="Y4" i="2"/>
  <c r="AE4" i="2" s="1"/>
  <c r="AE7" i="2"/>
  <c r="AG7" i="2" s="1"/>
  <c r="AE8" i="2"/>
  <c r="AF49" i="2" l="1"/>
  <c r="AF59" i="2"/>
  <c r="AG52" i="2"/>
  <c r="AG44" i="2"/>
  <c r="AG20" i="2"/>
  <c r="AG63" i="2"/>
  <c r="AF40" i="2"/>
  <c r="AG34" i="2"/>
  <c r="AF42" i="2"/>
  <c r="AG74" i="2"/>
  <c r="AG65" i="2"/>
  <c r="AF67" i="2"/>
  <c r="AG56" i="2"/>
  <c r="AF55" i="2"/>
  <c r="AG46" i="2"/>
  <c r="AF61" i="2"/>
  <c r="AF13" i="2"/>
  <c r="AF19" i="2"/>
  <c r="AG58" i="2"/>
  <c r="AF66" i="2"/>
  <c r="AG37" i="2"/>
  <c r="AG62" i="2"/>
  <c r="AG18" i="2"/>
  <c r="AG41" i="2"/>
  <c r="AG27" i="2"/>
  <c r="AG32" i="2"/>
  <c r="AG33" i="2"/>
  <c r="AF71" i="2"/>
  <c r="AG64" i="2"/>
  <c r="AG21" i="2"/>
  <c r="AG70" i="2"/>
  <c r="AG60" i="2"/>
  <c r="AG75" i="2"/>
  <c r="AF43" i="2"/>
  <c r="AF73" i="2"/>
  <c r="AF51" i="2"/>
  <c r="AG72" i="2"/>
  <c r="AF45" i="2"/>
  <c r="AF53" i="2"/>
  <c r="AG35" i="2"/>
  <c r="AG17" i="2"/>
  <c r="AF29" i="2"/>
  <c r="AG54" i="2"/>
  <c r="AF9" i="2"/>
  <c r="AG69" i="2"/>
  <c r="AG15" i="2"/>
  <c r="AG57" i="2"/>
  <c r="AG68" i="2"/>
  <c r="AG25" i="2"/>
  <c r="AG31" i="2"/>
  <c r="AG22" i="2"/>
  <c r="AG23" i="2"/>
  <c r="AF10" i="2"/>
  <c r="AF12" i="2"/>
  <c r="AG4" i="2"/>
  <c r="AF4" i="2"/>
  <c r="AF11" i="2"/>
  <c r="AF6" i="2"/>
  <c r="AF7" i="2"/>
  <c r="AF5" i="2"/>
  <c r="AG8" i="2"/>
  <c r="A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3" authorId="0" shapeId="0" xr:uid="{00000000-0006-0000-0100-000001000000}">
      <text>
        <r>
          <rPr>
            <sz val="10"/>
            <rFont val="Arial"/>
            <family val="2"/>
          </rPr>
          <t>Return on Equity. &gt;=20% excellent, &lt;5% weak.</t>
        </r>
      </text>
    </comment>
    <comment ref="D3" authorId="0" shapeId="0" xr:uid="{00000000-0006-0000-0100-000002000000}">
      <text>
        <r>
          <rPr>
            <sz val="10"/>
            <rFont val="Arial"/>
            <family val="2"/>
          </rPr>
          <t>Return on Invested Capital. Should exceed cost of capital (~8-10%).</t>
        </r>
      </text>
    </comment>
    <comment ref="H3" authorId="0" shapeId="0" xr:uid="{00000000-0006-0000-0100-000003000000}">
      <text>
        <r>
          <rPr>
            <sz val="10"/>
            <rFont val="Arial"/>
            <family val="2"/>
          </rPr>
          <t>Net income / revenue.</t>
        </r>
      </text>
    </comment>
    <comment ref="I3" authorId="0" shapeId="0" xr:uid="{00000000-0006-0000-0100-000004000000}">
      <text>
        <r>
          <rPr>
            <sz val="10"/>
            <rFont val="Arial"/>
            <family val="2"/>
          </rPr>
          <t>Operating income / revenue. Cleaner than net margin.</t>
        </r>
      </text>
    </comment>
    <comment ref="J3" authorId="0" shapeId="0" xr:uid="{00000000-0006-0000-0100-000005000000}">
      <text>
        <r>
          <rPr>
            <sz val="10"/>
            <rFont val="Arial"/>
            <family val="2"/>
          </rPr>
          <t>Free Cash Flow / Net Income. &gt;=1.0 = high earnings quality.</t>
        </r>
      </text>
    </comment>
    <comment ref="K3" authorId="0" shapeId="0" xr:uid="{00000000-0006-0000-0100-000006000000}">
      <text>
        <r>
          <rPr>
            <sz val="10"/>
            <rFont val="Arial"/>
            <family val="2"/>
          </rPr>
          <t>Revenue growth year-over-year (most recent quarter).</t>
        </r>
      </text>
    </comment>
    <comment ref="L3" authorId="0" shapeId="0" xr:uid="{00000000-0006-0000-0100-000007000000}">
      <text>
        <r>
          <rPr>
            <sz val="10"/>
            <rFont val="Arial"/>
            <family val="2"/>
          </rPr>
          <t>EPS growth year-over-year.</t>
        </r>
      </text>
    </comment>
    <comment ref="M3" authorId="0" shapeId="0" xr:uid="{00000000-0006-0000-0100-000008000000}">
      <text>
        <r>
          <rPr>
            <sz val="10"/>
            <rFont val="Arial"/>
            <family val="2"/>
          </rPr>
          <t>Forward EPS growth estimate (next 12 months consensus).</t>
        </r>
      </text>
    </comment>
    <comment ref="N3" authorId="0" shapeId="0" xr:uid="{00000000-0006-0000-0100-000009000000}">
      <text>
        <r>
          <rPr>
            <sz val="10"/>
            <rFont val="Arial"/>
            <family val="2"/>
          </rPr>
          <t>Did the company beat last EPS estimate? Y or N.</t>
        </r>
      </text>
    </comment>
    <comment ref="O3" authorId="0" shapeId="0" xr:uid="{00000000-0006-0000-0100-00000A000000}">
      <text>
        <r>
          <rPr>
            <sz val="10"/>
            <rFont val="Arial"/>
            <family val="2"/>
          </rPr>
          <t>Forward P/E. Compare to peers/sector.</t>
        </r>
      </text>
    </comment>
    <comment ref="P3" authorId="0" shapeId="0" xr:uid="{00000000-0006-0000-0100-00000B000000}">
      <text>
        <r>
          <rPr>
            <sz val="10"/>
            <rFont val="Arial"/>
            <family val="2"/>
          </rPr>
          <t>PEG = Fwd P/E / Growth Rate. &lt;1.5 reasonable.</t>
        </r>
      </text>
    </comment>
    <comment ref="Q3" authorId="0" shapeId="0" xr:uid="{00000000-0006-0000-0100-00000C000000}">
      <text>
        <r>
          <rPr>
            <sz val="10"/>
            <rFont val="Arial"/>
            <family val="2"/>
          </rPr>
          <t>Enterprise Value / EBITDA. Better than P/E for leveraged names.</t>
        </r>
      </text>
    </comment>
    <comment ref="R3" authorId="0" shapeId="0" xr:uid="{00000000-0006-0000-0100-00000D000000}">
      <text>
        <r>
          <rPr>
            <sz val="10"/>
            <rFont val="Arial"/>
            <family val="2"/>
          </rPr>
          <t>Net Debt / EBITDA. &lt;3 comfortable for most sectors.</t>
        </r>
      </text>
    </comment>
    <comment ref="S3" authorId="0" shapeId="0" xr:uid="{00000000-0006-0000-0100-00000E000000}">
      <text>
        <r>
          <rPr>
            <sz val="10"/>
            <rFont val="Arial"/>
            <family val="2"/>
          </rPr>
          <t>Current ratio = Current Assets / Current Liabilities.</t>
        </r>
      </text>
    </comment>
    <comment ref="T3" authorId="0" shapeId="0" xr:uid="{00000000-0006-0000-0100-00000F000000}">
      <text>
        <r>
          <rPr>
            <sz val="10"/>
            <rFont val="Arial"/>
            <family val="2"/>
          </rPr>
          <t>Calendar days until next earnings report.</t>
        </r>
      </text>
    </comment>
    <comment ref="U3" authorId="0" shapeId="0" xr:uid="{00000000-0006-0000-0100-000010000000}">
      <text>
        <r>
          <rPr>
            <sz val="10"/>
            <rFont val="Arial"/>
            <family val="2"/>
          </rPr>
          <t>Number of analyst upgrades in past 90 days.</t>
        </r>
      </text>
    </comment>
    <comment ref="V3" authorId="0" shapeId="0" xr:uid="{00000000-0006-0000-0100-000011000000}">
      <text>
        <r>
          <rPr>
            <sz val="10"/>
            <rFont val="Arial"/>
            <family val="2"/>
          </rPr>
          <t>IV Rank (0-100). Lower is better for buying premium.</t>
        </r>
      </text>
    </comment>
    <comment ref="W3" authorId="0" shapeId="0" xr:uid="{00000000-0006-0000-0100-000012000000}">
      <text>
        <r>
          <rPr>
            <sz val="10"/>
            <rFont val="Arial"/>
            <family val="2"/>
          </rPr>
          <t>Open interest at your target ITM strike (in contracts).</t>
        </r>
      </text>
    </comment>
    <comment ref="X3" authorId="0" shapeId="0" xr:uid="{00000000-0006-0000-0100-000013000000}">
      <text>
        <r>
          <rPr>
            <sz val="10"/>
            <rFont val="Arial"/>
            <family val="2"/>
          </rPr>
          <t>Bid-ask spread as % of mid price. &lt;1% = liquid.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<sst xmlns="http://schemas.openxmlformats.org/spreadsheetml/2006/main" count="185" uniqueCount="171">
  <si>
    <t>SCORING RUBRIC &amp; WEIGHTS</t>
  </si>
  <si>
    <t>Adjust weights (blue cells) to reflect your priorities. Weights must sum to 100%.</t>
  </si>
  <si>
    <t>Category</t>
  </si>
  <si>
    <t>Weight</t>
  </si>
  <si>
    <t>Notes</t>
  </si>
  <si>
    <t>Profitability</t>
  </si>
  <si>
    <t>ROE, ROIC, margins, FCF/NI quality</t>
  </si>
  <si>
    <t>Growth</t>
  </si>
  <si>
    <t>Revenue &amp; EPS growth, guidance</t>
  </si>
  <si>
    <t>Valuation</t>
  </si>
  <si>
    <t>Fwd P/E, PEG, EV/EBITDA vs peers</t>
  </si>
  <si>
    <t>Balance Sheet</t>
  </si>
  <si>
    <t>Net Debt/EBITDA, current ratio</t>
  </si>
  <si>
    <t>Catalysts</t>
  </si>
  <si>
    <t>Earnings proximity, analyst revisions</t>
  </si>
  <si>
    <t>Options Setup</t>
  </si>
  <si>
    <t>IV rank, OI, bid-ask spread</t>
  </si>
  <si>
    <t>TOTAL</t>
  </si>
  <si>
    <t>&lt;-- must equal 100%</t>
  </si>
  <si>
    <t>SCORING SCALE (1-5)</t>
  </si>
  <si>
    <t>Score</t>
  </si>
  <si>
    <t>Meaning</t>
  </si>
  <si>
    <t>Action</t>
  </si>
  <si>
    <t>Excellent — top of peer group</t>
  </si>
  <si>
    <t>Strong candidate</t>
  </si>
  <si>
    <t>Above average</t>
  </si>
  <si>
    <t>Good candidate</t>
  </si>
  <si>
    <t>Average / in-line</t>
  </si>
  <si>
    <t>Neutral</t>
  </si>
  <si>
    <t>Below average</t>
  </si>
  <si>
    <t>Caution</t>
  </si>
  <si>
    <t>Poor / red flag</t>
  </si>
  <si>
    <t>Likely skip</t>
  </si>
  <si>
    <t>DECISION THRESHOLDS</t>
  </si>
  <si>
    <t>Composite Score</t>
  </si>
  <si>
    <t>Verdict</t>
  </si>
  <si>
    <t>Trade Type</t>
  </si>
  <si>
    <t>&gt;= 4.0</t>
  </si>
  <si>
    <t>Strong Buy</t>
  </si>
  <si>
    <t>Stock or ITM call</t>
  </si>
  <si>
    <t>3.5 - 3.99</t>
  </si>
  <si>
    <t>Buy</t>
  </si>
  <si>
    <t>Stock or ITM call (smaller size)</t>
  </si>
  <si>
    <t>3.0 - 3.49</t>
  </si>
  <si>
    <t>Hold / Watch</t>
  </si>
  <si>
    <t>Wait for better entry</t>
  </si>
  <si>
    <t>&lt; 3.0</t>
  </si>
  <si>
    <t>Pass</t>
  </si>
  <si>
    <t>Skip — fundamentals don't support</t>
  </si>
  <si>
    <t>FUNDAMENTAL SCREENER — Enter raw metrics in BLUE columns; scores auto-calculate</t>
  </si>
  <si>
    <t>Identity</t>
  </si>
  <si>
    <t>Category Scores (1-5)</t>
  </si>
  <si>
    <t>Output</t>
  </si>
  <si>
    <t>Ticker</t>
  </si>
  <si>
    <t>Company</t>
  </si>
  <si>
    <t>ROE %</t>
  </si>
  <si>
    <t>ROIC %</t>
  </si>
  <si>
    <t>Net Margin %</t>
  </si>
  <si>
    <t>Op Margin %</t>
  </si>
  <si>
    <t>FCF/NI</t>
  </si>
  <si>
    <t>Rev Growth YoY %</t>
  </si>
  <si>
    <t>EPS Growth YoY %</t>
  </si>
  <si>
    <t>Fwd P/E</t>
  </si>
  <si>
    <t>PEG</t>
  </si>
  <si>
    <t>EV/EBITDA</t>
  </si>
  <si>
    <t>Net Debt/EBITDA</t>
  </si>
  <si>
    <t>Current Ratio</t>
  </si>
  <si>
    <t>Days to Earnings</t>
  </si>
  <si>
    <t>IV Rank %</t>
  </si>
  <si>
    <t>Open Interest (target K)</t>
  </si>
  <si>
    <t>Bid-Ask Spread %</t>
  </si>
  <si>
    <t>Options</t>
  </si>
  <si>
    <t>Trade Sizing</t>
  </si>
  <si>
    <t>HOW TO USE THIS WORKBOOK</t>
  </si>
  <si>
    <t>Step 1</t>
  </si>
  <si>
    <t>On the Screener tab, enter Ticker and Company name in cols A-B.</t>
  </si>
  <si>
    <t>Step 2</t>
  </si>
  <si>
    <t>Fill the BLUE input cells (cols C-U) with raw fundamentals from your data source (Bloomberg, Finviz, IBKR, Yahoo, etc.).</t>
  </si>
  <si>
    <t>Step 3</t>
  </si>
  <si>
    <t>Sub-scores (cols V-AA), composite score (AB), verdict (AC), and sizing (AD) auto-calculate.</t>
  </si>
  <si>
    <t>Step 4</t>
  </si>
  <si>
    <t>Adjust category weights on the Weights tab to reflect your strategy. Weights must total 100%.</t>
  </si>
  <si>
    <t>Step 5</t>
  </si>
  <si>
    <t>Sort the Screener by Composite Score descending to rank candidates. Focus on Strong Buy / Buy verdicts.</t>
  </si>
  <si>
    <t>Step 6</t>
  </si>
  <si>
    <t>For ITM option candidates, pay extra attention to the Options Setup score — illiquid options eat returns.</t>
  </si>
  <si>
    <t>VBA Macros</t>
  </si>
  <si>
    <t>See the VBA module in the Instructions section below — paste into the workbook via Alt+F11 to enable: SortByScore, AddRow, ClearInputs, ExportTopPicks.</t>
  </si>
  <si>
    <t>Color Coding</t>
  </si>
  <si>
    <t>BLUE = your inputs | BLACK = formulas | GREEN = links between sheets | YELLOW = key assumptions to review</t>
  </si>
  <si>
    <t>Hover over any header cell on the Screener tab for guidance on each metric. Composite scores are color-graded red→yellow→green.</t>
  </si>
  <si>
    <t>Net Income</t>
  </si>
  <si>
    <t>Revenue</t>
  </si>
  <si>
    <t>Operating Income</t>
  </si>
  <si>
    <t>Next Earnings Date</t>
  </si>
  <si>
    <t>TEAM</t>
  </si>
  <si>
    <t>MSTR</t>
  </si>
  <si>
    <t>IONQ</t>
  </si>
  <si>
    <t>PINS</t>
  </si>
  <si>
    <t>CRM</t>
  </si>
  <si>
    <t>U</t>
  </si>
  <si>
    <t>TOST</t>
  </si>
  <si>
    <t>VEEV</t>
  </si>
  <si>
    <t>KVYO</t>
  </si>
  <si>
    <t>WDAY</t>
  </si>
  <si>
    <t>ARCC</t>
  </si>
  <si>
    <t>ADBE</t>
  </si>
  <si>
    <t>TPG</t>
  </si>
  <si>
    <t>DT</t>
  </si>
  <si>
    <t>ARES</t>
  </si>
  <si>
    <t>TEM</t>
  </si>
  <si>
    <t>KKR</t>
  </si>
  <si>
    <t>GDDY</t>
  </si>
  <si>
    <t>IOT</t>
  </si>
  <si>
    <t>TENB</t>
  </si>
  <si>
    <t>BXSL</t>
  </si>
  <si>
    <t>CLBT</t>
  </si>
  <si>
    <t>VRNS</t>
  </si>
  <si>
    <t>OBDC</t>
  </si>
  <si>
    <t>TU</t>
  </si>
  <si>
    <t>ZS</t>
  </si>
  <si>
    <t>SFM</t>
  </si>
  <si>
    <t>EXE</t>
  </si>
  <si>
    <t>SOC</t>
  </si>
  <si>
    <t>RBRK</t>
  </si>
  <si>
    <t>NTNX</t>
  </si>
  <si>
    <t>EXLS</t>
  </si>
  <si>
    <t>ADSK</t>
  </si>
  <si>
    <t>INTU</t>
  </si>
  <si>
    <t>TRMB</t>
  </si>
  <si>
    <t>BOX</t>
  </si>
  <si>
    <t>BXP</t>
  </si>
  <si>
    <t>WIX</t>
  </si>
  <si>
    <t>TRI</t>
  </si>
  <si>
    <t>BILL</t>
  </si>
  <si>
    <t>ESTC</t>
  </si>
  <si>
    <t>HUBS</t>
  </si>
  <si>
    <t>MDB</t>
  </si>
  <si>
    <t>AVPT</t>
  </si>
  <si>
    <t>RARE</t>
  </si>
  <si>
    <t>QTWO</t>
  </si>
  <si>
    <t>SJM</t>
  </si>
  <si>
    <t>GRND</t>
  </si>
  <si>
    <t>MAA</t>
  </si>
  <si>
    <t>PAYC</t>
  </si>
  <si>
    <t>LIF</t>
  </si>
  <si>
    <t>GWRE</t>
  </si>
  <si>
    <t>PCTY</t>
  </si>
  <si>
    <t>J</t>
  </si>
  <si>
    <t>CVLT</t>
  </si>
  <si>
    <t>SEZL</t>
  </si>
  <si>
    <t>Period</t>
  </si>
  <si>
    <t>LQ</t>
  </si>
  <si>
    <t>Fwd EPS Growth % 2026-2027</t>
  </si>
  <si>
    <t>Last EPS Beat? LQ0:LQ1</t>
  </si>
  <si>
    <t>MARA</t>
  </si>
  <si>
    <t>OWL</t>
  </si>
  <si>
    <t>ORCL</t>
  </si>
  <si>
    <t>CLSK</t>
  </si>
  <si>
    <t>COIN</t>
  </si>
  <si>
    <t>CRBG</t>
  </si>
  <si>
    <t>DKNG</t>
  </si>
  <si>
    <t>SNOW</t>
  </si>
  <si>
    <t>GPN</t>
  </si>
  <si>
    <t>UL</t>
  </si>
  <si>
    <t>OKTA</t>
  </si>
  <si>
    <t>BJ</t>
  </si>
  <si>
    <t>NICE</t>
  </si>
  <si>
    <t>TTAN</t>
  </si>
  <si>
    <t>LKNCY</t>
  </si>
  <si>
    <t>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</si>
</sst>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mm/dd/yyyy"/>
  </numFmts>
  <fonts count="22" x14ac:knownFonts="1">
    <font>
      <sz val="11"/>
      <color theme="1"/>
      <name val="Calibri"/>
      <family val="2"/>
      <charset val="1"/>
    </font>
    <font>
      <b/>
      <sz val="14"/>
      <color rgb="FF1F3864"/>
      <name val="Arial"/>
      <charset val="1"/>
    </font>
    <font>
      <i/>
      <sz val="10"/>
      <name val="Arial"/>
      <charset val="1"/>
    </font>
    <font>
      <b/>
      <sz val="11"/>
      <color rgb="FFFFFFFF"/>
      <name val="Arial"/>
      <charset val="1"/>
    </font>
    <font>
      <b/>
      <sz val="10"/>
      <color rgb="FF1F3864"/>
      <name val="Arial"/>
      <charset val="1"/>
    </font>
    <font>
      <sz val="10"/>
      <color rgb="FF0000FF"/>
      <name val="Arial"/>
      <charset val="1"/>
    </font>
    <font>
      <i/>
      <sz val="9"/>
      <color rgb="FF595959"/>
      <name val="Arial"/>
      <charset val="1"/>
    </font>
    <font>
      <b/>
      <sz val="11"/>
      <name val="Arial"/>
      <charset val="1"/>
    </font>
    <font>
      <i/>
      <sz val="9"/>
      <color rgb="FFC00000"/>
      <name val="Arial"/>
      <charset val="1"/>
    </font>
    <font>
      <b/>
      <sz val="12"/>
      <color rgb="FF1F3864"/>
      <name val="Arial"/>
      <charset val="1"/>
    </font>
    <font>
      <sz val="10"/>
      <name val="Arial"/>
      <charset val="1"/>
    </font>
    <font>
      <b/>
      <sz val="10"/>
      <color rgb="FFFFFFFF"/>
      <name val="Arial"/>
      <charset val="1"/>
    </font>
    <font>
      <b/>
      <sz val="10"/>
      <name val="Arial"/>
      <charset val="1"/>
    </font>
    <font>
      <sz val="10"/>
      <color rgb="FF000000"/>
      <name val="Arial"/>
      <charset val="1"/>
    </font>
    <font>
      <b/>
      <sz val="11"/>
      <color rgb="FF008000"/>
      <name val="Arial"/>
      <charset val="1"/>
    </font>
    <font>
      <i/>
      <sz val="9"/>
      <name val="Arial"/>
      <charset val="1"/>
    </font>
    <font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theme="1"/>
      <name val="Calibri"/>
      <family val="2"/>
      <charset val="1"/>
    </font>
    <font>
      <sz val="10"/>
      <color rgb="FF3F3F76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rgb="FF1F3864"/>
        <bgColor rgb="FF333399"/>
      </patternFill>
    </fill>
    <fill>
      <patternFill patternType="solid">
        <fgColor rgb="FFD9E1F2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808080"/>
        <bgColor rgb="FF969696"/>
      </patternFill>
    </fill>
    <fill>
      <patternFill patternType="solid">
        <fgColor rgb="FF548235"/>
        <bgColor rgb="FF339966"/>
      </patternFill>
    </fill>
    <fill>
      <patternFill patternType="solid">
        <fgColor rgb="FF2E75B6"/>
        <bgColor rgb="FF0066CC"/>
      </patternFill>
    </fill>
    <fill>
      <patternFill patternType="solid">
        <fgColor rgb="FFBF8F00"/>
        <bgColor rgb="FFFF6600"/>
      </patternFill>
    </fill>
    <fill>
      <patternFill patternType="solid">
        <fgColor rgb="FF7030A0"/>
        <bgColor rgb="FF993366"/>
      </patternFill>
    </fill>
    <fill>
      <patternFill patternType="solid">
        <fgColor rgb="FFC00000"/>
        <bgColor rgb="FF800000"/>
      </patternFill>
    </fill>
    <fill>
      <patternFill patternType="solid">
        <fgColor rgb="FF385723"/>
        <bgColor rgb="FF595959"/>
      </patternFill>
    </fill>
    <fill>
      <patternFill patternType="solid">
        <fgColor rgb="FF000000"/>
        <bgColor rgb="FF003300"/>
      </patternFill>
    </fill>
    <fill>
      <patternFill patternType="solid">
        <fgColor rgb="FF0070C0"/>
        <bgColor rgb="FF3333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4EDF8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1" fillId="16" borderId="3" applyNumberFormat="0" applyAlignment="0" applyProtection="0"/>
  </cellStyleXfs>
  <cellXfs count="47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/>
    <xf numFmtId="164" fontId="5" fillId="4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/>
    <xf numFmtId="0" fontId="7" fillId="0" borderId="0" xfId="0" applyFont="1"/>
    <xf numFmtId="164" fontId="7" fillId="0" borderId="1" xfId="0" applyNumberFormat="1" applyFont="1" applyBorder="1" applyAlignment="1">
      <alignment horizontal="center" vertical="center" wrapText="1"/>
    </xf>
    <xf numFmtId="0" fontId="8" fillId="0" borderId="0" xfId="0" applyFont="1"/>
    <xf numFmtId="0" fontId="3" fillId="2" borderId="1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4" fillId="0" borderId="0" xfId="0" applyFont="1"/>
    <xf numFmtId="0" fontId="10" fillId="0" borderId="0" xfId="0" applyFont="1" applyAlignment="1">
      <alignment vertical="top" wrapText="1"/>
    </xf>
    <xf numFmtId="0" fontId="0" fillId="0" borderId="2" xfId="0" applyBorder="1"/>
    <xf numFmtId="0" fontId="12" fillId="0" borderId="2" xfId="0" applyFont="1" applyBorder="1" applyAlignment="1">
      <alignment horizontal="center" vertical="center" wrapText="1"/>
    </xf>
    <xf numFmtId="165" fontId="13" fillId="0" borderId="2" xfId="0" applyNumberFormat="1" applyFont="1" applyBorder="1" applyAlignment="1">
      <alignment horizontal="center" vertical="center" wrapText="1"/>
    </xf>
    <xf numFmtId="2" fontId="14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/>
    </xf>
    <xf numFmtId="166" fontId="5" fillId="14" borderId="2" xfId="0" applyNumberFormat="1" applyFont="1" applyFill="1" applyBorder="1" applyAlignment="1">
      <alignment horizontal="center" vertical="center" wrapText="1"/>
    </xf>
    <xf numFmtId="1" fontId="5" fillId="14" borderId="2" xfId="0" applyNumberFormat="1" applyFont="1" applyFill="1" applyBorder="1" applyAlignment="1">
      <alignment horizontal="center" vertical="center" wrapText="1"/>
    </xf>
    <xf numFmtId="1" fontId="17" fillId="14" borderId="2" xfId="0" applyNumberFormat="1" applyFont="1" applyFill="1" applyBorder="1" applyAlignment="1">
      <alignment horizontal="center" vertical="center" wrapText="1"/>
    </xf>
    <xf numFmtId="3" fontId="17" fillId="14" borderId="2" xfId="0" applyNumberFormat="1" applyFont="1" applyFill="1" applyBorder="1" applyAlignment="1">
      <alignment horizontal="center" vertical="center" wrapText="1"/>
    </xf>
    <xf numFmtId="164" fontId="17" fillId="14" borderId="2" xfId="0" applyNumberFormat="1" applyFont="1" applyFill="1" applyBorder="1" applyAlignment="1">
      <alignment horizontal="center" vertical="center" wrapText="1"/>
    </xf>
    <xf numFmtId="164" fontId="18" fillId="14" borderId="2" xfId="0" applyNumberFormat="1" applyFont="1" applyFill="1" applyBorder="1" applyAlignment="1">
      <alignment horizontal="center" vertical="center" wrapText="1"/>
    </xf>
    <xf numFmtId="3" fontId="18" fillId="14" borderId="2" xfId="0" applyNumberFormat="1" applyFont="1" applyFill="1" applyBorder="1" applyAlignment="1">
      <alignment horizontal="center" vertical="center" wrapText="1"/>
    </xf>
    <xf numFmtId="165" fontId="18" fillId="14" borderId="2" xfId="0" applyNumberFormat="1" applyFont="1" applyFill="1" applyBorder="1" applyAlignment="1">
      <alignment horizontal="center" vertical="center" wrapText="1"/>
    </xf>
    <xf numFmtId="0" fontId="18" fillId="14" borderId="2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13" borderId="2" xfId="0" applyFont="1" applyFill="1" applyBorder="1" applyAlignment="1">
      <alignment horizontal="center" vertical="center" wrapText="1"/>
    </xf>
    <xf numFmtId="0" fontId="20" fillId="0" borderId="2" xfId="0" applyFont="1" applyBorder="1"/>
    <xf numFmtId="0" fontId="12" fillId="15" borderId="2" xfId="0" applyFont="1" applyFill="1" applyBorder="1" applyAlignment="1">
      <alignment horizontal="center" vertical="center" wrapText="1"/>
    </xf>
    <xf numFmtId="0" fontId="16" fillId="15" borderId="2" xfId="0" applyFont="1" applyFill="1" applyBorder="1" applyAlignment="1">
      <alignment horizontal="left" vertical="center" wrapText="1"/>
    </xf>
    <xf numFmtId="0" fontId="20" fillId="0" borderId="2" xfId="0" applyFont="1" applyBorder="1" applyAlignment="1">
      <alignment horizontal="center"/>
    </xf>
    <xf numFmtId="0" fontId="21" fillId="16" borderId="3" xfId="1" applyAlignment="1">
      <alignment horizontal="center" vertical="center"/>
    </xf>
    <xf numFmtId="0" fontId="11" fillId="12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0" fontId="9" fillId="0" borderId="0" xfId="0" applyFont="1"/>
  </cellXfs>
  <cellStyles count="2">
    <cellStyle name="Input" xfId="1" builtinId="20"/>
    <cellStyle name="Normal" xfId="0" builtinId="0"/>
  </cellStyles>
  <dxfs count="4">
    <dxf>
      <font>
        <b val="0"/>
        <i val="0"/>
        <color auto="1"/>
      </font>
      <fill>
        <patternFill patternType="solid">
          <fgColor indexed="64"/>
          <bgColor rgb="FFA4E6B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color auto="1"/>
      </font>
      <fill>
        <patternFill patternType="solid">
          <fgColor indexed="64"/>
          <bgColor rgb="FF2FFF8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29FF8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FAD8E92-A0FB-45A3-B903-061B06857D09}"/>
  </tableStyle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BF8F00"/>
      <rgbColor rgb="FFFF6600"/>
      <rgbColor rgb="FF59595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857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4EDF8"/>
      <color rgb="FFA4E6B1"/>
      <color rgb="FFC6EFCE"/>
      <color rgb="FF00FA00"/>
      <color rgb="FF29FF8A"/>
      <color rgb="FF2FFF8D"/>
      <color rgb="FF4BFF9C"/>
      <color rgb="FF8FFF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38100</xdr:colOff>
      <xdr:row>3</xdr:row>
      <xdr:rowOff>47625</xdr:rowOff>
    </xdr:from>
    <xdr:to>
      <xdr:col>40</xdr:col>
      <xdr:colOff>38505</xdr:colOff>
      <xdr:row>28</xdr:row>
      <xdr:rowOff>76869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C59B8F-9393-AABD-120C-3ECF037CA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032450" y="1466850"/>
          <a:ext cx="2905530" cy="47917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F6E263-4B8F-4A86-8CC6-20D8BB459B67}">
  <we:reference id="wa200002252" version="1.0.0.3" store="en-US" storeType="OMEX"/>
  <we:alternateReferences>
    <we:reference id="WA200002252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_xldudf_WISE</we:customFunctionIds>
        <we:customFunctionIds>_xldudf_WISEPRICE</we:customFunctionIds>
        <we:customFunctionIds>_xldudf_WISEFUNDS</we:customFunctionIds>
        <we:customFunctionIds>_xldudf_WISEOPTIONS</we:customFunctionIds>
      </we:customFunctionIdList>
    </a:ext>
    <a:ext xmlns:a="http://schemas.openxmlformats.org/drawingml/2006/main" uri="{0858819E-0033-43BF-8937-05EC82904868}">
      <we:backgroundApp state="1" runtimeId="Taskpane.Url"/>
    </a:ext>
  </we:extLst>
</we:webextension>
</file>

<file path=xl/webextensions/webextension2.xml><?xml version="1.0" encoding="utf-8"?>
<we:webextension xmlns:we="http://schemas.microsoft.com/office/webextensions/webextension/2010/11" id="{6D720123-F4F2-478A-9278-21F44173BB1F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97aaaeaf-6dc4-43bd-abfe-18eeb72d373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1"/>
  <sheetViews>
    <sheetView zoomScaleNormal="100" workbookViewId="0">
      <selection activeCell="C9" sqref="C9"/>
    </sheetView>
  </sheetViews>
  <sheetFormatPr defaultColWidth="8.7109375" defaultRowHeight="15" x14ac:dyDescent="0.25"/>
  <cols>
    <col min="1" max="1" width="22" customWidth="1"/>
    <col min="2" max="2" width="14" customWidth="1"/>
    <col min="3" max="3" width="42" customWidth="1"/>
  </cols>
  <sheetData>
    <row r="1" spans="1:4" ht="18" x14ac:dyDescent="0.25">
      <c r="A1" s="44" t="s">
        <v>0</v>
      </c>
      <c r="B1" s="44"/>
      <c r="C1" s="44"/>
      <c r="D1" s="44"/>
    </row>
    <row r="3" spans="1:4" x14ac:dyDescent="0.25">
      <c r="A3" s="45" t="s">
        <v>1</v>
      </c>
      <c r="B3" s="45"/>
      <c r="C3" s="45"/>
      <c r="D3" s="45"/>
    </row>
    <row r="5" spans="1:4" x14ac:dyDescent="0.25">
      <c r="A5" s="1" t="s">
        <v>2</v>
      </c>
      <c r="B5" s="1" t="s">
        <v>3</v>
      </c>
      <c r="C5" s="1" t="s">
        <v>4</v>
      </c>
    </row>
    <row r="6" spans="1:4" x14ac:dyDescent="0.25">
      <c r="A6" s="2" t="s">
        <v>5</v>
      </c>
      <c r="B6" s="3">
        <v>0.25</v>
      </c>
      <c r="C6" s="4" t="s">
        <v>6</v>
      </c>
    </row>
    <row r="7" spans="1:4" x14ac:dyDescent="0.25">
      <c r="A7" s="2" t="s">
        <v>7</v>
      </c>
      <c r="B7" s="3">
        <v>0.25</v>
      </c>
      <c r="C7" s="4" t="s">
        <v>8</v>
      </c>
    </row>
    <row r="8" spans="1:4" x14ac:dyDescent="0.25">
      <c r="A8" s="2" t="s">
        <v>9</v>
      </c>
      <c r="B8" s="3">
        <v>0.2</v>
      </c>
      <c r="C8" s="4" t="s">
        <v>10</v>
      </c>
    </row>
    <row r="9" spans="1:4" x14ac:dyDescent="0.25">
      <c r="A9" s="2" t="s">
        <v>11</v>
      </c>
      <c r="B9" s="3">
        <v>0.2</v>
      </c>
      <c r="C9" s="4" t="s">
        <v>12</v>
      </c>
    </row>
    <row r="10" spans="1:4" x14ac:dyDescent="0.25">
      <c r="A10" s="2" t="s">
        <v>13</v>
      </c>
      <c r="B10" s="3">
        <v>0.1</v>
      </c>
      <c r="C10" s="4" t="s">
        <v>14</v>
      </c>
    </row>
    <row r="11" spans="1:4" x14ac:dyDescent="0.25">
      <c r="A11" s="2" t="s">
        <v>15</v>
      </c>
      <c r="B11" s="3">
        <v>0</v>
      </c>
      <c r="C11" s="4" t="s">
        <v>16</v>
      </c>
    </row>
    <row r="12" spans="1:4" x14ac:dyDescent="0.25">
      <c r="A12" s="5" t="s">
        <v>17</v>
      </c>
      <c r="B12" s="6">
        <f>SUM(B6:B11)</f>
        <v>0.99999999999999989</v>
      </c>
      <c r="C12" s="7" t="s">
        <v>18</v>
      </c>
    </row>
    <row r="15" spans="1:4" ht="15.75" x14ac:dyDescent="0.25">
      <c r="A15" s="46" t="s">
        <v>19</v>
      </c>
      <c r="B15" s="46"/>
      <c r="C15" s="46"/>
    </row>
    <row r="17" spans="1:3" x14ac:dyDescent="0.25">
      <c r="A17" s="1" t="s">
        <v>20</v>
      </c>
      <c r="B17" s="8" t="s">
        <v>21</v>
      </c>
      <c r="C17" s="1" t="s">
        <v>22</v>
      </c>
    </row>
    <row r="18" spans="1:3" ht="38.25" x14ac:dyDescent="0.25">
      <c r="A18" s="9">
        <v>5</v>
      </c>
      <c r="B18" s="10" t="s">
        <v>23</v>
      </c>
      <c r="C18" s="9" t="s">
        <v>24</v>
      </c>
    </row>
    <row r="19" spans="1:3" x14ac:dyDescent="0.25">
      <c r="A19" s="9">
        <v>4</v>
      </c>
      <c r="B19" s="10" t="s">
        <v>25</v>
      </c>
      <c r="C19" s="9" t="s">
        <v>26</v>
      </c>
    </row>
    <row r="20" spans="1:3" ht="25.5" x14ac:dyDescent="0.25">
      <c r="A20" s="9">
        <v>3</v>
      </c>
      <c r="B20" s="10" t="s">
        <v>27</v>
      </c>
      <c r="C20" s="9" t="s">
        <v>28</v>
      </c>
    </row>
    <row r="21" spans="1:3" x14ac:dyDescent="0.25">
      <c r="A21" s="9">
        <v>2</v>
      </c>
      <c r="B21" s="10" t="s">
        <v>29</v>
      </c>
      <c r="C21" s="9" t="s">
        <v>30</v>
      </c>
    </row>
    <row r="22" spans="1:3" x14ac:dyDescent="0.25">
      <c r="A22" s="9">
        <v>1</v>
      </c>
      <c r="B22" s="10" t="s">
        <v>31</v>
      </c>
      <c r="C22" s="9" t="s">
        <v>32</v>
      </c>
    </row>
    <row r="25" spans="1:3" ht="15.75" x14ac:dyDescent="0.25">
      <c r="A25" s="46" t="s">
        <v>33</v>
      </c>
      <c r="B25" s="46"/>
      <c r="C25" s="46"/>
    </row>
    <row r="27" spans="1:3" x14ac:dyDescent="0.25">
      <c r="A27" s="1" t="s">
        <v>34</v>
      </c>
      <c r="B27" s="1" t="s">
        <v>35</v>
      </c>
      <c r="C27" s="8" t="s">
        <v>36</v>
      </c>
    </row>
    <row r="28" spans="1:3" x14ac:dyDescent="0.25">
      <c r="A28" s="9" t="s">
        <v>37</v>
      </c>
      <c r="B28" s="9" t="s">
        <v>38</v>
      </c>
      <c r="C28" s="10" t="s">
        <v>39</v>
      </c>
    </row>
    <row r="29" spans="1:3" x14ac:dyDescent="0.25">
      <c r="A29" s="9" t="s">
        <v>40</v>
      </c>
      <c r="B29" s="9" t="s">
        <v>41</v>
      </c>
      <c r="C29" s="10" t="s">
        <v>42</v>
      </c>
    </row>
    <row r="30" spans="1:3" x14ac:dyDescent="0.25">
      <c r="A30" s="9" t="s">
        <v>43</v>
      </c>
      <c r="B30" s="9" t="s">
        <v>44</v>
      </c>
      <c r="C30" s="10" t="s">
        <v>45</v>
      </c>
    </row>
    <row r="31" spans="1:3" x14ac:dyDescent="0.25">
      <c r="A31" s="9" t="s">
        <v>46</v>
      </c>
      <c r="B31" s="9" t="s">
        <v>47</v>
      </c>
      <c r="C31" s="10" t="s">
        <v>48</v>
      </c>
    </row>
  </sheetData>
  <mergeCells count="4">
    <mergeCell ref="A1:D1"/>
    <mergeCell ref="A3:D3"/>
    <mergeCell ref="A15:C15"/>
    <mergeCell ref="A25:C25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81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80" sqref="B80"/>
    </sheetView>
  </sheetViews>
  <sheetFormatPr defaultColWidth="8.7109375" defaultRowHeight="15" x14ac:dyDescent="0.25"/>
  <cols>
    <col min="1" max="1" width="10" style="13" customWidth="1"/>
    <col min="2" max="2" width="35.28515625" style="13" customWidth="1"/>
    <col min="3" max="4" width="9" style="13" customWidth="1"/>
    <col min="5" max="5" width="16.7109375" style="13" customWidth="1"/>
    <col min="6" max="6" width="17.5703125" style="13" bestFit="1" customWidth="1"/>
    <col min="7" max="7" width="18.5703125" style="13" bestFit="1" customWidth="1"/>
    <col min="8" max="8" width="17.5703125" style="13" bestFit="1" customWidth="1"/>
    <col min="9" max="9" width="11" style="13" customWidth="1"/>
    <col min="10" max="10" width="9" style="13" customWidth="1"/>
    <col min="11" max="11" width="17.5703125" style="13" bestFit="1" customWidth="1"/>
    <col min="12" max="13" width="13" style="13" customWidth="1"/>
    <col min="14" max="14" width="10" style="13" customWidth="1"/>
    <col min="15" max="15" width="9" style="13" customWidth="1"/>
    <col min="16" max="16" width="8" style="13" customWidth="1"/>
    <col min="17" max="17" width="11" style="13" customWidth="1"/>
    <col min="18" max="18" width="13" style="13" customWidth="1"/>
    <col min="19" max="20" width="11" style="13" customWidth="1"/>
    <col min="21" max="21" width="13" style="13" customWidth="1"/>
    <col min="22" max="22" width="10" style="13" customWidth="1"/>
    <col min="23" max="24" width="13" style="13" customWidth="1"/>
    <col min="25" max="25" width="11.42578125" style="13" customWidth="1"/>
    <col min="26" max="26" width="9" style="13" customWidth="1"/>
    <col min="27" max="27" width="11" style="13" customWidth="1"/>
    <col min="28" max="28" width="13" style="13" customWidth="1"/>
    <col min="29" max="29" width="11" style="13" customWidth="1"/>
    <col min="30" max="30" width="10" style="13" customWidth="1"/>
    <col min="31" max="31" width="11" style="13" customWidth="1"/>
    <col min="32" max="32" width="13" style="13" customWidth="1"/>
    <col min="33" max="33" width="32" style="13" customWidth="1"/>
    <col min="34" max="34" width="8.7109375" style="13"/>
    <col min="35" max="35" width="15.42578125" style="13" customWidth="1"/>
    <col min="36" max="16384" width="8.7109375" style="13"/>
  </cols>
  <sheetData>
    <row r="1" spans="1:35" ht="40.5" customHeight="1" x14ac:dyDescent="0.25">
      <c r="A1" s="35" t="s">
        <v>49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</row>
    <row r="2" spans="1:35" ht="21.75" customHeight="1" x14ac:dyDescent="0.25">
      <c r="A2" s="36" t="s">
        <v>50</v>
      </c>
      <c r="B2" s="36"/>
      <c r="C2" s="37" t="s">
        <v>5</v>
      </c>
      <c r="D2" s="37"/>
      <c r="E2" s="37"/>
      <c r="F2" s="37"/>
      <c r="G2" s="37"/>
      <c r="H2" s="37"/>
      <c r="I2" s="37"/>
      <c r="J2" s="37"/>
      <c r="K2" s="38" t="s">
        <v>7</v>
      </c>
      <c r="L2" s="38"/>
      <c r="M2" s="38"/>
      <c r="N2" s="38"/>
      <c r="O2" s="39" t="s">
        <v>9</v>
      </c>
      <c r="P2" s="39"/>
      <c r="Q2" s="39"/>
      <c r="R2" s="40" t="s">
        <v>11</v>
      </c>
      <c r="S2" s="40"/>
      <c r="T2" s="41" t="s">
        <v>13</v>
      </c>
      <c r="U2" s="41"/>
      <c r="V2" s="42" t="s">
        <v>15</v>
      </c>
      <c r="W2" s="42"/>
      <c r="X2" s="42"/>
      <c r="Y2" s="43" t="s">
        <v>51</v>
      </c>
      <c r="Z2" s="43"/>
      <c r="AA2" s="43"/>
      <c r="AB2" s="43"/>
      <c r="AC2" s="43"/>
      <c r="AD2" s="43"/>
      <c r="AE2" s="34" t="s">
        <v>52</v>
      </c>
      <c r="AF2" s="34"/>
      <c r="AG2" s="34"/>
    </row>
    <row r="3" spans="1:35" s="29" customFormat="1" ht="49.5" customHeight="1" x14ac:dyDescent="0.2">
      <c r="A3" s="27" t="s">
        <v>53</v>
      </c>
      <c r="B3" s="27" t="s">
        <v>54</v>
      </c>
      <c r="C3" s="27" t="s">
        <v>55</v>
      </c>
      <c r="D3" s="27" t="s">
        <v>56</v>
      </c>
      <c r="E3" s="27" t="s">
        <v>93</v>
      </c>
      <c r="F3" s="27" t="s">
        <v>91</v>
      </c>
      <c r="G3" s="27" t="s">
        <v>92</v>
      </c>
      <c r="H3" s="27" t="s">
        <v>57</v>
      </c>
      <c r="I3" s="27" t="s">
        <v>58</v>
      </c>
      <c r="J3" s="27" t="s">
        <v>59</v>
      </c>
      <c r="K3" s="27" t="s">
        <v>60</v>
      </c>
      <c r="L3" s="27" t="s">
        <v>61</v>
      </c>
      <c r="M3" s="27" t="s">
        <v>153</v>
      </c>
      <c r="N3" s="27" t="s">
        <v>154</v>
      </c>
      <c r="O3" s="27" t="s">
        <v>62</v>
      </c>
      <c r="P3" s="27" t="s">
        <v>63</v>
      </c>
      <c r="Q3" s="27" t="s">
        <v>64</v>
      </c>
      <c r="R3" s="27" t="s">
        <v>65</v>
      </c>
      <c r="S3" s="27" t="s">
        <v>66</v>
      </c>
      <c r="T3" s="27" t="s">
        <v>94</v>
      </c>
      <c r="U3" s="27" t="s">
        <v>67</v>
      </c>
      <c r="V3" s="28" t="s">
        <v>68</v>
      </c>
      <c r="W3" s="28" t="s">
        <v>69</v>
      </c>
      <c r="X3" s="28" t="s">
        <v>70</v>
      </c>
      <c r="Y3" s="27" t="s">
        <v>5</v>
      </c>
      <c r="Z3" s="27" t="s">
        <v>7</v>
      </c>
      <c r="AA3" s="27" t="s">
        <v>9</v>
      </c>
      <c r="AB3" s="27" t="s">
        <v>11</v>
      </c>
      <c r="AC3" s="27" t="s">
        <v>13</v>
      </c>
      <c r="AD3" s="27" t="s">
        <v>71</v>
      </c>
      <c r="AE3" s="27" t="s">
        <v>34</v>
      </c>
      <c r="AF3" s="27" t="s">
        <v>35</v>
      </c>
      <c r="AG3" s="27" t="s">
        <v>72</v>
      </c>
      <c r="AI3" s="32" t="s">
        <v>151</v>
      </c>
    </row>
    <row r="4" spans="1:35" x14ac:dyDescent="0.25">
      <c r="A4" s="30" t="s">
        <v>155</v>
      </c>
      <c r="B4" s="31" t="str" cm="1">
        <f t="array" ref="B4">_xldudf_WISEPRICE(A4, "Name")</f>
        <v>Marathon Digital Holdings, Inc.</v>
      </c>
      <c r="C4" s="23" cm="1">
        <f t="array" ref="C4">_xldudf_WISE(A4, "ROE", $AI$4)</f>
        <v>-0.4924486998</v>
      </c>
      <c r="D4" s="23" cm="1">
        <f t="array" ref="D4">_xldudf_WISE(A4, "ROIC", $AI$4)</f>
        <v>-4.1024689199999999E-2</v>
      </c>
      <c r="E4" s="24" cm="1">
        <f t="array" ref="E4">_xldudf_WISE(A4, "Operating Income", $AI$4)</f>
        <v>-331810000</v>
      </c>
      <c r="F4" s="24" cm="1">
        <f t="array" ref="F4">_xldudf_WISE(A4, "Net Income",$AI$4)</f>
        <v>-1709644000</v>
      </c>
      <c r="G4" s="24" cm="1">
        <f t="array" ref="G4">_xldudf_WISE(A4, "Revenue", $AI$4)</f>
        <v>202314000</v>
      </c>
      <c r="H4" s="23">
        <f>F4/G4</f>
        <v>-8.4504483130183772</v>
      </c>
      <c r="I4" s="23">
        <f>E4/G4</f>
        <v>-1.6400743398875015</v>
      </c>
      <c r="J4" s="25" cm="1">
        <f t="array" ref="J4">_xldudf_WISE(A4, "Free Cash Flow", $AI$4)/F4</f>
        <v>-0.29727299952504732</v>
      </c>
      <c r="K4" s="23" cm="1">
        <f t="array" ref="K4">_xldudf_WISE(A4, "Revenue Growth", $AI$4)</f>
        <v>-0.19850000000000001</v>
      </c>
      <c r="L4" s="23" cm="1">
        <f t="array" ref="L4">_xldudf_WISE(A4, "EPS Growth", $AI$4)</f>
        <v>-15.575799999999999</v>
      </c>
      <c r="M4" s="23" cm="1">
        <f t="array" ref="M4">(_xldudf_WISE(A4,"Estimated EPS AVG",2027)-_xldudf_WISE(A4,"Estimated EPS AVG",2026))/_xldudf_WISE(A4,"Estimated EPS AVG",2026)</f>
        <v>-0.58279368325380598</v>
      </c>
      <c r="N4" s="26" t="str" cm="1">
        <f t="array" ref="N4">IF(_xldudf_WISE(A4,"EPS","LQ-0")&gt;_xldudf_WISE(A4,"EPS","LQ-1"),"Y","N")</f>
        <v>N</v>
      </c>
      <c r="O4" s="25" cm="1">
        <f t="array" ref="O4">_xldudf_WISE(A4, "PE Ratio", $AI$4)</f>
        <v>-0.46638435410000001</v>
      </c>
      <c r="P4" s="25">
        <f>IF(OR(M4="",M4=0),"",O4/(M4*100))</f>
        <v>8.0025636430395251E-3</v>
      </c>
      <c r="Q4" s="25" cm="1">
        <f t="array" ref="Q4">_xldudf_WISE(A4, "Enterprise Value Over EBITDA", $AI$4)</f>
        <v>-136.7112943651</v>
      </c>
      <c r="R4" s="25" cm="1">
        <f t="array" ref="R4">_xldudf_WISE(A4, "Net Debt To EBITDA", $AI$4)</f>
        <v>-67.364345973200003</v>
      </c>
      <c r="S4" s="25" cm="1">
        <f t="array" ref="S4">_xldudf_WISE(A4, "Current Ratio", $AI$4)</f>
        <v>1.2728488623000001</v>
      </c>
      <c r="T4" s="18" t="str" cm="1">
        <f t="array" ref="T4">_xldudf_WISEPRICE(A4,"Earnings Announcement")</f>
        <v>2026-05-07</v>
      </c>
      <c r="U4" s="19">
        <f ca="1">IFERROR(T4-TODAY(),"")</f>
        <v>2</v>
      </c>
      <c r="V4" s="20">
        <v>25</v>
      </c>
      <c r="W4" s="21">
        <v>5000</v>
      </c>
      <c r="X4" s="22">
        <v>0.5</v>
      </c>
      <c r="Y4" s="15">
        <f>IFERROR(ROUND((IF(C4&gt;=0.2,5,IF(C4&gt;=0.15,4,IF(C4&gt;=0.1,3,IF(C4&gt;=0.05,2,1))))+IF(D4&gt;=0.15,5,IF(D4&gt;=0.12,4,IF(D4&gt;=0.08,3,IF(D4&gt;=0.05,2,1))))+IF(H4&gt;=0.2,5,IF(H4&gt;=0.12,4,IF(H4&gt;=0.07,3,IF(H4&gt;=0.03,2,1))))+IF(I4&gt;=0.25,5,IF(I4&gt;=0.15,4,IF(I4&gt;=0.08,3,IF(I4&gt;=0.03,2,1))))+IF(J4&gt;=1,5,IF(J4&gt;=0.85,4,IF(J4&gt;=0.7,3,IF(J4&gt;=0.5,2,1)))))/5,1),"")</f>
        <v>1</v>
      </c>
      <c r="Z4" s="15">
        <f t="shared" ref="Z4:Z13" si="0">IFERROR(ROUND((IF(K4&gt;=0.2,5,IF(K4&gt;=0.1,4,IF(K4&gt;=0.05,3,IF(K4&gt;=0,2,1))))+IF(L4&gt;=0.25,5,IF(L4&gt;=0.12,4,IF(L4&gt;=0.05,3,IF(L4&gt;=0,2,1))))+IF(M4&gt;=0.2,5,IF(M4&gt;=0.1,4,IF(M4&gt;=0.05,3,IF(M4&gt;=0,2,1))))+IF(UPPER(N4)="Y",5,2))/4,1),"")</f>
        <v>1.3</v>
      </c>
      <c r="AA4" s="15">
        <f t="shared" ref="AA4:AA13" si="1">IFERROR(ROUND((IF(O4&lt;=15,5,IF(O4&lt;=20,4,IF(O4&lt;=28,3,IF(O4&lt;=40,2,1))))+IF(P4&lt;=1,5,IF(P4&lt;=1.5,4,IF(P4&lt;=2,3,IF(P4&lt;=3,2,1))))+IF(Q4&lt;=10,5,IF(Q4&lt;=15,4,IF(Q4&lt;=22,3,IF(Q4&lt;=30,2,1)))))/3,1),"")</f>
        <v>5</v>
      </c>
      <c r="AB4" s="15">
        <f t="shared" ref="AB4:AB13" si="2">IFERROR(ROUND((IF(R4&lt;=0.5,5,IF(R4&lt;=1.5,4,IF(R4&lt;=3,3,IF(R4&lt;=4.5,2,1))))+IF(S4&gt;=2,5,IF(S4&gt;=1.5,4,IF(S4&gt;=1,3,IF(S4&gt;=0.8,2,1)))))/2,1),"")</f>
        <v>4</v>
      </c>
      <c r="AC4" s="15">
        <f t="shared" ref="AC4:AC13" ca="1" si="3">IFERROR(ROUND((IF(T4&gt;=45,5,IF(T4&gt;=30,4,IF(T4&gt;=21,3,IF(T4&gt;=14,2,1))))+IF(U4&gt;=5,5,IF(U4&gt;=3,4,IF(U4&gt;=1,3,IF(U4=0,2,1)))))/2,1),"")</f>
        <v>4</v>
      </c>
      <c r="AD4" s="15">
        <f>IFERROR(ROUND((IF(V4&lt;=20,5,IF(V4&lt;=40,4,IF(V4&lt;=60,3,IF(V4&lt;=80,2,1))))+IF(W4&gt;=5000,5,IF(W4&gt;=2000,4,IF(W4&gt;=500,3,IF(W4&gt;=100,2,1))))+IF(X4&lt;=0.005,5,IF(X4&lt;=0.01,4,IF(X4&lt;=0.02,3,IF(X4&lt;=0.04,2,1)))))/3,1),"")</f>
        <v>3.3</v>
      </c>
      <c r="AE4" s="16">
        <f ca="1">IFERROR(ROUND(Y4*Weights!$B$6+Z4*Weights!$B$7+AA4*Weights!$B$8+AB4*Weights!$B$9+AC4*Weights!$B$10+AD4*Weights!$B$11,2),"")</f>
        <v>2.78</v>
      </c>
      <c r="AF4" s="14" t="str">
        <f ca="1">IF(AE4="","",IF(AE4&gt;=4,"Strong Buy",IF(AE4&gt;=3.5,"Buy",IF(AE4&gt;=3,"Hold/Watch","Pass"))))</f>
        <v>Pass</v>
      </c>
      <c r="AG4" s="17" t="str">
        <f t="shared" ref="AG4:AG13" ca="1" si="4">IF(AE4="","",IF(AE4&gt;=4,"Full size — stock or ITM call",IF(AE4&gt;=3.5,"Half size — ITM call preferred",IF(AE4&gt;=3,"Quarter size or wait","Skip"))))</f>
        <v>Skip</v>
      </c>
      <c r="AI4" s="33" t="s">
        <v>152</v>
      </c>
    </row>
    <row r="5" spans="1:35" x14ac:dyDescent="0.25">
      <c r="A5" s="30" t="s">
        <v>156</v>
      </c>
      <c r="B5" s="31" t="str" cm="1">
        <f t="array" ref="B5">_xldudf_WISEPRICE(A5, "Name")</f>
        <v>Blue Owl Capital Inc.</v>
      </c>
      <c r="C5" s="23" cm="1">
        <f t="array" ref="C5">_xldudf_WISE(A5, "ROE", $AI$4)</f>
        <v>7.4022777000000003E-3</v>
      </c>
      <c r="D5" s="23" cm="1">
        <f t="array" ref="D5">_xldudf_WISE(A5, "ROIC", $AI$4)</f>
        <v>8.5722556999999998E-3</v>
      </c>
      <c r="E5" s="24" cm="1">
        <f t="array" ref="E5">_xldudf_WISE(A5, "Operating Income", $AI$4)</f>
        <v>108901000</v>
      </c>
      <c r="F5" s="24" cm="1">
        <f t="array" ref="F5">_xldudf_WISE(A5, "Net Income",$AI$4)</f>
        <v>15542000</v>
      </c>
      <c r="G5" s="24" cm="1">
        <f t="array" ref="G5">_xldudf_WISE(A5, "Revenue", $AI$4)</f>
        <v>753811000</v>
      </c>
      <c r="H5" s="23">
        <f t="shared" ref="H5:H8" si="5">F5/G5</f>
        <v>2.0617900242899081E-2</v>
      </c>
      <c r="I5" s="23">
        <f t="shared" ref="I5:I7" si="6">E5/G5</f>
        <v>0.14446724709509412</v>
      </c>
      <c r="J5" s="25" cm="1">
        <f t="array" ref="J5">_xldudf_WISE(A5, "Free Cash Flow", $AI$4)/F5</f>
        <v>5.725324926006949</v>
      </c>
      <c r="K5" s="23" cm="1">
        <f t="array" ref="K5">_xldudf_WISE(A5, "Revenue Growth", $AI$4)</f>
        <v>-2.3999999999999998E-3</v>
      </c>
      <c r="L5" s="23" cm="1">
        <f t="array" ref="L5">_xldudf_WISE(A5, "EPS Growth", $AI$4)</f>
        <v>-0.67659999999999998</v>
      </c>
      <c r="M5" s="23" cm="1">
        <f t="array" ref="M5">(_xldudf_WISE(A5,"Estimated EPS AVG",2027)-_xldudf_WISE(A5,"Estimated EPS AVG",2026))/_xldudf_WISE(A5,"Estimated EPS AVG",2026)</f>
        <v>0.1272803309446843</v>
      </c>
      <c r="N5" s="26" t="str" cm="1">
        <f t="array" ref="N5">IF(_xldudf_WISE(A5,"EPS","LQ-0")&gt;_xldudf_WISE(A5,"EPS","LQ-1"),"Y","N")</f>
        <v>N</v>
      </c>
      <c r="O5" s="25" cm="1">
        <f t="array" ref="O5">_xldudf_WISE(A5, "PE Ratio", $AI$4)</f>
        <v>99.926972217100001</v>
      </c>
      <c r="P5" s="25">
        <f>IF(OR(M5="",M5=0),"",O5/(M5*100))</f>
        <v>7.8509359203762603</v>
      </c>
      <c r="Q5" s="25" cm="1">
        <f t="array" ref="Q5">_xldudf_WISE(A5, "Enterprise Value Over EBITDA", $AI$4)</f>
        <v>73.450901307099997</v>
      </c>
      <c r="R5" s="25" cm="1">
        <f t="array" ref="R5">_xldudf_WISE(A5, "Net Debt To EBITDA", $AI$4)</f>
        <v>1.7027009444000001</v>
      </c>
      <c r="S5" s="25" cm="1">
        <f t="array" ref="S5">_xldudf_WISE(A5, "Current Ratio", $AI$4)</f>
        <v>0.4049829465</v>
      </c>
      <c r="T5" s="18" t="str" cm="1">
        <f t="array" ref="T5">_xldudf_WISEPRICE(A5,"Earnings Announcement")</f>
        <v>2026-07-30</v>
      </c>
      <c r="U5" s="19">
        <f ca="1">IFERROR(T5-TODAY(),"")</f>
        <v>86</v>
      </c>
      <c r="V5" s="20">
        <v>35</v>
      </c>
      <c r="W5" s="21">
        <v>8000</v>
      </c>
      <c r="X5" s="22">
        <v>0.4</v>
      </c>
      <c r="Y5" s="15">
        <f t="shared" ref="Y5:Y12" si="7">IFERROR(ROUND((IF(C5&gt;=0.2,5,IF(C5&gt;=0.15,4,IF(C5&gt;=0.1,3,IF(C5&gt;=0.05,2,1))))+IF(D5&gt;=0.15,5,IF(D5&gt;=0.12,4,IF(D5&gt;=0.08,3,IF(D5&gt;=0.05,2,1))))+IF(H5&gt;=0.2,5,IF(H5&gt;=0.12,4,IF(H5&gt;=0.07,3,IF(H5&gt;=0.03,2,1))))+IF(I5&gt;=0.25,5,IF(I5&gt;=0.15,4,IF(I5&gt;=0.08,3,IF(I5&gt;=0.03,2,1))))+IF(J5&gt;=1,5,IF(J5&gt;=0.85,4,IF(J5&gt;=0.7,3,IF(J5&gt;=0.5,2,1)))))/5,1),"")</f>
        <v>2.2000000000000002</v>
      </c>
      <c r="Z5" s="15">
        <f t="shared" si="0"/>
        <v>2</v>
      </c>
      <c r="AA5" s="15">
        <f t="shared" si="1"/>
        <v>1</v>
      </c>
      <c r="AB5" s="15">
        <f t="shared" si="2"/>
        <v>2</v>
      </c>
      <c r="AC5" s="15">
        <f t="shared" ca="1" si="3"/>
        <v>5</v>
      </c>
      <c r="AD5" s="15">
        <f t="shared" ref="AD5:AD13" si="8">IFERROR(ROUND((IF(V5&lt;=20,5,IF(V5&lt;=40,4,IF(V5&lt;=60,3,IF(V5&lt;=80,2,1))))+IF(W5&gt;=5000,5,IF(W5&gt;=2000,4,IF(W5&gt;=500,3,IF(W5&gt;=100,2,1))))+IF(X5&lt;=0.005,5,IF(X5&lt;=0.01,4,IF(X5&lt;=0.02,3,IF(X5&lt;=0.04,2,1)))))/3,1),"")</f>
        <v>3.3</v>
      </c>
      <c r="AE5" s="16">
        <f ca="1">IFERROR(ROUND(Y5*Weights!$B$6+Z5*Weights!$B$7+AA5*Weights!$B$8+AB5*Weights!$B$9+AC5*Weights!$B$10+AD5*Weights!$B$11,2),"")</f>
        <v>2.15</v>
      </c>
      <c r="AF5" s="14" t="str">
        <f t="shared" ref="AF5:AF67" ca="1" si="9">IF(AE5="","",IF(AE5&gt;=4,"Strong Buy",IF(AE5&gt;=3.5,"Buy",IF(AE5&gt;=3,"Hold/Watch","Pass"))))</f>
        <v>Pass</v>
      </c>
      <c r="AG5" s="17" t="str">
        <f t="shared" ca="1" si="4"/>
        <v>Skip</v>
      </c>
    </row>
    <row r="6" spans="1:35" x14ac:dyDescent="0.25">
      <c r="A6" s="30" t="s">
        <v>98</v>
      </c>
      <c r="B6" s="31" t="str" cm="1">
        <f t="array" ref="B6">_xldudf_WISEPRICE(A6, "Name")</f>
        <v>Pinterest, Inc.</v>
      </c>
      <c r="C6" s="23" cm="1">
        <f t="array" ref="C6">_xldudf_WISE(A6, "ROE", $AI$4)</f>
        <v>5.8389062899999997E-2</v>
      </c>
      <c r="D6" s="23" cm="1">
        <f t="array" ref="D6">_xldudf_WISE(A6, "ROIC", $AI$4)</f>
        <v>5.0057442899999999E-2</v>
      </c>
      <c r="E6" s="24" cm="1">
        <f t="array" ref="E6">_xldudf_WISE(A6, "Operating Income", $AI$4)</f>
        <v>301174000</v>
      </c>
      <c r="F6" s="24" cm="1">
        <f t="array" ref="F6">_xldudf_WISE(A6, "Net Income",$AI$4)</f>
        <v>277070000</v>
      </c>
      <c r="G6" s="24" cm="1">
        <f t="array" ref="G6">_xldudf_WISE(A6, "Revenue", $AI$4)</f>
        <v>1319347000</v>
      </c>
      <c r="H6" s="23">
        <f t="shared" si="5"/>
        <v>0.21000540418858724</v>
      </c>
      <c r="I6" s="23">
        <f t="shared" si="6"/>
        <v>0.22827504818671662</v>
      </c>
      <c r="J6" s="25" cm="1">
        <f t="array" ref="J6">_xldudf_WISE(A6, "Free Cash Flow", $AI$4)/F6</f>
        <v>1.3728227523730465</v>
      </c>
      <c r="K6" s="23" cm="1">
        <f t="array" ref="K6">_xldudf_WISE(A6, "Revenue Growth", $AI$4)</f>
        <v>0.25750000000000001</v>
      </c>
      <c r="L6" s="23" cm="1">
        <f t="array" ref="L6">_xldudf_WISE(A6, "EPS Growth", $AI$4)</f>
        <v>1.9286000000000001</v>
      </c>
      <c r="M6" s="23" cm="1">
        <f t="array" ref="M6">(_xldudf_WISE(A6,"Estimated EPS AVG",2027)-_xldudf_WISE(A6,"Estimated EPS AVG",2026))/_xldudf_WISE(A6,"Estimated EPS AVG",2026)</f>
        <v>0.17611575693614825</v>
      </c>
      <c r="N6" s="26" t="str" cm="1">
        <f t="array" ref="N6">IF(_xldudf_WISE(A6,"EPS","LQ-0")&gt;_xldudf_WISE(A6,"EPS","LQ-1"),"Y","N")</f>
        <v>Y</v>
      </c>
      <c r="O6" s="25" cm="1">
        <f t="array" ref="O6">_xldudf_WISE(A6, "PE Ratio", $AI$4)</f>
        <v>15.597634063599999</v>
      </c>
      <c r="P6" s="25">
        <f>IF(OR(M6="",M6=0),"",O6/(M6*100))</f>
        <v>0.88564670958175584</v>
      </c>
      <c r="Q6" s="25" cm="1">
        <f t="array" ref="Q6">_xldudf_WISE(A6, "Enterprise Value Over EBITDA", $AI$4)</f>
        <v>53.9719836449</v>
      </c>
      <c r="R6" s="25" cm="1">
        <f t="array" ref="R6">_xldudf_WISE(A6, "Net Debt To EBITDA", $AI$4)</f>
        <v>-2.3026218984</v>
      </c>
      <c r="S6" s="25" cm="1">
        <f t="array" ref="S6">_xldudf_WISE(A6, "Current Ratio", $AI$4)</f>
        <v>7.6389758375000003</v>
      </c>
      <c r="T6" s="18" t="str" cm="1">
        <f t="array" ref="T6">_xldudf_WISEPRICE(A6,"Earnings Announcement")</f>
        <v>2026-05-04</v>
      </c>
      <c r="U6" s="19">
        <f ca="1">IFERROR(T6-TODAY(),"")</f>
        <v>-1</v>
      </c>
      <c r="V6" s="20">
        <v>65</v>
      </c>
      <c r="W6" s="21">
        <v>12000</v>
      </c>
      <c r="X6" s="22">
        <v>0.3</v>
      </c>
      <c r="Y6" s="15">
        <f t="shared" si="7"/>
        <v>3.6</v>
      </c>
      <c r="Z6" s="15">
        <f t="shared" si="0"/>
        <v>4.8</v>
      </c>
      <c r="AA6" s="15">
        <f t="shared" si="1"/>
        <v>3.3</v>
      </c>
      <c r="AB6" s="15">
        <f t="shared" si="2"/>
        <v>5</v>
      </c>
      <c r="AC6" s="15">
        <f t="shared" ca="1" si="3"/>
        <v>3</v>
      </c>
      <c r="AD6" s="15">
        <f t="shared" si="8"/>
        <v>2.7</v>
      </c>
      <c r="AE6" s="16">
        <f ca="1">IFERROR(ROUND(Y6*Weights!$B$6+Z6*Weights!$B$7+AA6*Weights!$B$8+AB6*Weights!$B$9+AC6*Weights!$B$10+AD6*Weights!$B$11,2),"")</f>
        <v>4.0599999999999996</v>
      </c>
      <c r="AF6" s="14" t="str">
        <f t="shared" ca="1" si="9"/>
        <v>Strong Buy</v>
      </c>
      <c r="AG6" s="17" t="str">
        <f t="shared" ca="1" si="4"/>
        <v>Full size — stock or ITM call</v>
      </c>
    </row>
    <row r="7" spans="1:35" x14ac:dyDescent="0.25">
      <c r="A7" s="30" t="s">
        <v>157</v>
      </c>
      <c r="B7" s="31" t="str" cm="1">
        <f t="array" ref="B7">_xldudf_WISEPRICE(A7, "Name")</f>
        <v>Oracle Corporation</v>
      </c>
      <c r="C7" s="23" cm="1">
        <f t="array" ref="C7">_xldudf_WISE(A7, "ROE", $AI$4)</f>
        <v>9.6661904100000001E-2</v>
      </c>
      <c r="D7" s="23" cm="1">
        <f t="array" ref="D7">_xldudf_WISE(A7, "ROIC", $AI$4)</f>
        <v>2.1863882599999999E-2</v>
      </c>
      <c r="E7" s="24" cm="1">
        <f t="array" ref="E7">_xldudf_WISE(A7, "Operating Income", $AI$4)</f>
        <v>5637000000</v>
      </c>
      <c r="F7" s="24" cm="1">
        <f t="array" ref="F7">_xldudf_WISE(A7, "Net Income",$AI$4)</f>
        <v>3721000000</v>
      </c>
      <c r="G7" s="24" cm="1">
        <f t="array" ref="G7">_xldudf_WISE(A7, "Revenue", $AI$4)</f>
        <v>17190000000</v>
      </c>
      <c r="H7" s="23">
        <f t="shared" si="5"/>
        <v>0.2164630599185573</v>
      </c>
      <c r="I7" s="23">
        <f t="shared" si="6"/>
        <v>0.32792321116928447</v>
      </c>
      <c r="J7" s="25" cm="1">
        <f t="array" ref="J7">_xldudf_WISE(A7, "Free Cash Flow", $AI$4)/F7</f>
        <v>-3.0862671324912658</v>
      </c>
      <c r="K7" s="23" cm="1">
        <f t="array" ref="K7">_xldudf_WISE(A7, "Revenue Growth", $AI$4)</f>
        <v>7.0499999999999993E-2</v>
      </c>
      <c r="L7" s="23" cm="1">
        <f t="array" ref="L7">_xldudf_WISE(A7, "EPS Growth", $AI$4)</f>
        <v>-0.4047</v>
      </c>
      <c r="M7" s="23" cm="1">
        <f t="array" ref="M7">(_xldudf_WISE(A7,"Estimated EPS AVG",2027)-_xldudf_WISE(A7,"Estimated EPS AVG",2026))/_xldudf_WISE(A7,"Estimated EPS AVG",2026)</f>
        <v>6.8117866810610952E-2</v>
      </c>
      <c r="N7" s="26" t="str" cm="1">
        <f t="array" ref="N7">IF(_xldudf_WISE(A7,"EPS","LQ-0")&gt;_xldudf_WISE(A7,"EPS","LQ-1"),"Y","N")</f>
        <v>N</v>
      </c>
      <c r="O7" s="25" cm="1">
        <f t="array" ref="O7">_xldudf_WISE(A7, "PE Ratio", $AI$4)</f>
        <v>27.890150497200001</v>
      </c>
      <c r="P7" s="25">
        <f>IF(OR(M7="",M7=0),"",O7/(M7*100))</f>
        <v>4.0943957588606485</v>
      </c>
      <c r="Q7" s="25" cm="1">
        <f t="array" ref="Q7">_xldudf_WISE(A7, "Enterprise Value Over EBITDA", $AI$4)</f>
        <v>65.686578081199997</v>
      </c>
      <c r="R7" s="25" cm="1">
        <f t="array" ref="R7">_xldudf_WISE(A7, "Net Debt To EBITDA", $AI$4)</f>
        <v>15.081067901999999</v>
      </c>
      <c r="S7" s="25" cm="1">
        <f t="array" ref="S7">_xldudf_WISE(A7, "Current Ratio", $AI$4)</f>
        <v>1.3470309546999999</v>
      </c>
      <c r="T7" s="18" t="str" cm="1">
        <f t="array" ref="T7">_xldudf_WISEPRICE(A7,"Earnings Announcement")</f>
        <v>2026-06-10</v>
      </c>
      <c r="U7" s="19">
        <f ca="1">IFERROR(T7-TODAY(),"")</f>
        <v>36</v>
      </c>
      <c r="V7" s="20">
        <v>30</v>
      </c>
      <c r="W7" s="21">
        <v>3000</v>
      </c>
      <c r="X7" s="22">
        <v>0.6</v>
      </c>
      <c r="Y7" s="15">
        <f t="shared" si="7"/>
        <v>2.8</v>
      </c>
      <c r="Z7" s="15">
        <f t="shared" si="0"/>
        <v>2.2999999999999998</v>
      </c>
      <c r="AA7" s="15">
        <f t="shared" si="1"/>
        <v>1.7</v>
      </c>
      <c r="AB7" s="15">
        <f t="shared" si="2"/>
        <v>2</v>
      </c>
      <c r="AC7" s="15">
        <f t="shared" ca="1" si="3"/>
        <v>5</v>
      </c>
      <c r="AD7" s="15">
        <f t="shared" si="8"/>
        <v>3</v>
      </c>
      <c r="AE7" s="16">
        <f ca="1">IFERROR(ROUND(Y7*Weights!$B$6+Z7*Weights!$B$7+AA7*Weights!$B$8+AB7*Weights!$B$9+AC7*Weights!$B$10+AD7*Weights!$B$11,2),"")</f>
        <v>2.52</v>
      </c>
      <c r="AF7" s="14" t="str">
        <f t="shared" ca="1" si="9"/>
        <v>Pass</v>
      </c>
      <c r="AG7" s="17" t="str">
        <f t="shared" ca="1" si="4"/>
        <v>Skip</v>
      </c>
    </row>
    <row r="8" spans="1:35" x14ac:dyDescent="0.25">
      <c r="A8" s="30" t="s">
        <v>97</v>
      </c>
      <c r="B8" s="31" t="str" cm="1">
        <f t="array" ref="B8">_xldudf_WISEPRICE(A8, "Name")</f>
        <v>IonQ, Inc.</v>
      </c>
      <c r="C8" s="23" cm="1">
        <f t="array" ref="C8">_xldudf_WISE(A8, "ROE", $AI$4)</f>
        <v>0.1851601138</v>
      </c>
      <c r="D8" s="23" cm="1">
        <f t="array" ref="D8">_xldudf_WISE(A8, "ROIC", $AI$4)</f>
        <v>-3.6560663600000001E-2</v>
      </c>
      <c r="E8" s="24" cm="1">
        <f t="array" ref="E8">_xldudf_WISE(A8, "Operating Income", $AI$4)</f>
        <v>-242731000</v>
      </c>
      <c r="F8" s="24" cm="1">
        <f t="array" ref="F8">_xldudf_WISE(A8, "Net Income",$AI$4)</f>
        <v>703519000</v>
      </c>
      <c r="G8" s="24" cm="1">
        <f t="array" ref="G8">_xldudf_WISE(A8, "Revenue", $AI$4)</f>
        <v>61890000</v>
      </c>
      <c r="H8" s="23">
        <f t="shared" si="5"/>
        <v>11.367248343835838</v>
      </c>
      <c r="I8" s="23">
        <f>E8/G8</f>
        <v>-3.921974470835353</v>
      </c>
      <c r="J8" s="25" cm="1">
        <f t="array" ref="J8">_xldudf_WISE(A8, "Free Cash Flow", $AI$4)/F8</f>
        <v>-0.11840334091900859</v>
      </c>
      <c r="K8" s="23" cm="1">
        <f t="array" ref="K8">_xldudf_WISE(A8, "Revenue Growth", $AI$4)</f>
        <v>0.55249999999999999</v>
      </c>
      <c r="L8" s="23" cm="1">
        <f t="array" ref="L8">_xldudf_WISE(A8, "EPS Growth", $AI$4)</f>
        <v>1.595</v>
      </c>
      <c r="M8" s="23" cm="1">
        <f t="array" ref="M8">(_xldudf_WISE(A8,"Estimated EPS AVG",2027)-_xldudf_WISE(A8,"Estimated EPS AVG",2026))/_xldudf_WISE(A8,"Estimated EPS AVG",2026)</f>
        <v>-2.1486997202491129E-2</v>
      </c>
      <c r="N8" s="26" t="str" cm="1">
        <f t="array" ref="N8">IF(_xldudf_WISE(A8,"EPS","LQ-0")&gt;_xldudf_WISE(A8,"EPS","LQ-1"),"Y","N")</f>
        <v>Y</v>
      </c>
      <c r="O8" s="25" cm="1">
        <f t="array" ref="O8">_xldudf_WISE(A8, "PE Ratio", $AI$4)</f>
        <v>5.5127585053999999</v>
      </c>
      <c r="P8" s="25">
        <f>IF(OR(M8="",M8=0),"",O8/(M8*100))</f>
        <v>-2.5656253656331605</v>
      </c>
      <c r="Q8" s="25" cm="1">
        <f t="array" ref="Q8">_xldudf_WISE(A8, "Enterprise Value Over EBITDA", $AI$4)</f>
        <v>18.7538233356</v>
      </c>
      <c r="R8" s="25" cm="1">
        <f t="array" ref="R8">_xldudf_WISE(A8, "Net Debt To EBITDA", $AI$4)</f>
        <v>-1.2933457907000001</v>
      </c>
      <c r="S8" s="25" cm="1">
        <f t="array" ref="S8">_xldudf_WISE(A8, "Current Ratio", $AI$4)</f>
        <v>15.503905290000001</v>
      </c>
      <c r="T8" s="18" t="str" cm="1">
        <f t="array" ref="T8">_xldudf_WISEPRICE(A8,"Earnings Announcement")</f>
        <v>2026-05-06</v>
      </c>
      <c r="U8" s="19">
        <f ca="1">IFERROR(T8-TODAY(),"")</f>
        <v>1</v>
      </c>
      <c r="V8" s="20">
        <v>40</v>
      </c>
      <c r="W8" s="21">
        <v>9000</v>
      </c>
      <c r="X8" s="22">
        <v>0.4</v>
      </c>
      <c r="Y8" s="15">
        <f t="shared" si="7"/>
        <v>2.4</v>
      </c>
      <c r="Z8" s="15">
        <f t="shared" si="0"/>
        <v>4</v>
      </c>
      <c r="AA8" s="15">
        <f t="shared" si="1"/>
        <v>4.3</v>
      </c>
      <c r="AB8" s="15">
        <f t="shared" si="2"/>
        <v>5</v>
      </c>
      <c r="AC8" s="15">
        <f t="shared" ca="1" si="3"/>
        <v>4</v>
      </c>
      <c r="AD8" s="15">
        <f t="shared" si="8"/>
        <v>3.3</v>
      </c>
      <c r="AE8" s="16">
        <f ca="1">IFERROR(ROUND(Y8*Weights!$B$6+Z8*Weights!$B$7+AA8*Weights!$B$8+AB8*Weights!$B$9+AC8*Weights!$B$10+AD8*Weights!$B$11,2),"")</f>
        <v>3.86</v>
      </c>
      <c r="AF8" s="14" t="str">
        <f t="shared" ca="1" si="9"/>
        <v>Buy</v>
      </c>
      <c r="AG8" s="17" t="str">
        <f t="shared" ca="1" si="4"/>
        <v>Half size — ITM call preferred</v>
      </c>
    </row>
    <row r="9" spans="1:35" x14ac:dyDescent="0.25">
      <c r="A9" s="30" t="s">
        <v>158</v>
      </c>
      <c r="B9" s="31" t="str" cm="1">
        <f t="array" ref="B9">_xldudf_WISEPRICE(A9, "Name")</f>
        <v>CleanSpark, Inc.</v>
      </c>
      <c r="C9" s="23" cm="1">
        <f t="array" ref="C9">_xldudf_WISE(A9, "ROE", $AI$4)</f>
        <v>-0.27398036250000002</v>
      </c>
      <c r="D9" s="23" cm="1">
        <f t="array" ref="D9">_xldudf_WISE(A9, "ROIC", $AI$4)</f>
        <v>-9.1654704399999995E-2</v>
      </c>
      <c r="E9" s="24" cm="1">
        <f t="array" ref="E9">_xldudf_WISE(A9, "Operating Income", $AI$4)</f>
        <v>-316554000</v>
      </c>
      <c r="F9" s="24" cm="1">
        <f t="array" ref="F9">_xldudf_WISE(A9, "Net Income",$AI$4)</f>
        <v>-378711000</v>
      </c>
      <c r="G9" s="24" cm="1">
        <f t="array" ref="G9">_xldudf_WISE(A9, "Revenue", $AI$4)</f>
        <v>181180000</v>
      </c>
      <c r="H9" s="23">
        <f t="shared" ref="H9:H72" si="10">F9/G9</f>
        <v>-2.0902472679103652</v>
      </c>
      <c r="I9" s="23">
        <f t="shared" ref="I9:I72" si="11">E9/G9</f>
        <v>-1.7471796003973949</v>
      </c>
      <c r="J9" s="25" cm="1">
        <f t="array" ref="J9">_xldudf_WISE(A9, "Free Cash Flow", $AI$4)/F9</f>
        <v>0.52299246655101117</v>
      </c>
      <c r="K9" s="23" cm="1">
        <f t="array" ref="K9">_xldudf_WISE(A9, "Revenue Growth", $AI$4)</f>
        <v>-0.18990000000000001</v>
      </c>
      <c r="L9" s="23" cm="1">
        <f t="array" ref="L9">_xldudf_WISE(A9, "EPS Growth", $AI$4)</f>
        <v>-288.13040000000001</v>
      </c>
      <c r="M9" s="23" cm="1">
        <f t="array" ref="M9">(_xldudf_WISE(A9,"Estimated EPS AVG",2027)-_xldudf_WISE(A9,"Estimated EPS AVG",2026))/_xldudf_WISE(A9,"Estimated EPS AVG",2026)</f>
        <v>-0.46210101687733923</v>
      </c>
      <c r="N9" s="26" t="str" cm="1">
        <f t="array" ref="N9">IF(_xldudf_WISE(A9,"EPS","LQ-0")&gt;_xldudf_WISE(A9,"EPS","LQ-1"),"Y","N")</f>
        <v>N</v>
      </c>
      <c r="O9" s="25" cm="1">
        <f t="array" ref="O9">_xldudf_WISE(A9, "PE Ratio", $AI$4)</f>
        <v>-1.8994664082999999</v>
      </c>
      <c r="P9" s="25">
        <f t="shared" ref="P9:P72" si="12">IF(OR(M9="",M9=0),"",O9/(M9*100))</f>
        <v>4.110500386118382E-2</v>
      </c>
      <c r="Q9" s="25" cm="1">
        <f t="array" ref="Q9">_xldudf_WISE(A9, "Enterprise Value Over EBITDA", $AI$4)</f>
        <v>-14.0230684887</v>
      </c>
      <c r="R9" s="25" cm="1">
        <f t="array" ref="R9">_xldudf_WISE(A9, "Net Debt To EBITDA", $AI$4)</f>
        <v>-4.4355538970000001</v>
      </c>
      <c r="S9" s="25" cm="1">
        <f t="array" ref="S9">_xldudf_WISE(A9, "Current Ratio", $AI$4)</f>
        <v>10.542491953200001</v>
      </c>
      <c r="T9" s="18" t="str" cm="1">
        <f t="array" ref="T9">_xldudf_WISEPRICE(A9,"Earnings Announcement")</f>
        <v>2026-05-07</v>
      </c>
      <c r="U9" s="19">
        <f t="shared" ref="U9:U72" ca="1" si="13">IFERROR(T9-TODAY(),"")</f>
        <v>2</v>
      </c>
      <c r="V9" s="20">
        <v>40</v>
      </c>
      <c r="W9" s="21">
        <v>9000</v>
      </c>
      <c r="X9" s="22">
        <v>1.4</v>
      </c>
      <c r="Y9" s="15">
        <f t="shared" si="7"/>
        <v>1.2</v>
      </c>
      <c r="Z9" s="15">
        <f t="shared" si="0"/>
        <v>1.3</v>
      </c>
      <c r="AA9" s="15">
        <f t="shared" si="1"/>
        <v>5</v>
      </c>
      <c r="AB9" s="15">
        <f t="shared" si="2"/>
        <v>5</v>
      </c>
      <c r="AC9" s="15">
        <f t="shared" ca="1" si="3"/>
        <v>4</v>
      </c>
      <c r="AD9" s="15">
        <f t="shared" si="8"/>
        <v>3.3</v>
      </c>
      <c r="AE9" s="16">
        <f ca="1">IFERROR(ROUND(Y9*Weights!$B$6+Z9*Weights!$B$7+AA9*Weights!$B$8+AB9*Weights!$B$9+AC9*Weights!$B$10+AD9*Weights!$B$11,2),"")</f>
        <v>3.03</v>
      </c>
      <c r="AF9" s="14" t="str">
        <f t="shared" ca="1" si="9"/>
        <v>Hold/Watch</v>
      </c>
      <c r="AG9" s="17" t="str">
        <f t="shared" ca="1" si="4"/>
        <v>Quarter size or wait</v>
      </c>
    </row>
    <row r="10" spans="1:35" x14ac:dyDescent="0.25">
      <c r="A10" s="30" t="s">
        <v>96</v>
      </c>
      <c r="B10" s="31" t="str" cm="1">
        <f t="array" ref="B10">_xldudf_WISEPRICE(A10, "Name")</f>
        <v>Strategy Inc</v>
      </c>
      <c r="C10" s="23" cm="1">
        <f t="array" ref="C10">_xldudf_WISE(A10, "ROE", $AI$4)</f>
        <v>-0.2472422648</v>
      </c>
      <c r="D10" s="23" cm="1">
        <f t="array" ref="D10">_xldudf_WISE(A10, "ROIC", $AI$4)</f>
        <v>-0.2029888192</v>
      </c>
      <c r="E10" s="24" cm="1">
        <f t="array" ref="E10">_xldudf_WISE(A10, "Operating Income", $AI$4)</f>
        <v>-17445805000</v>
      </c>
      <c r="F10" s="24" cm="1">
        <f t="array" ref="F10">_xldudf_WISE(A10, "Net Income",$AI$4)</f>
        <v>-12619980000</v>
      </c>
      <c r="G10" s="24" cm="1">
        <f t="array" ref="G10">_xldudf_WISE(A10, "Revenue", $AI$4)</f>
        <v>122989000</v>
      </c>
      <c r="H10" s="23">
        <f t="shared" si="10"/>
        <v>-102.61063997593281</v>
      </c>
      <c r="I10" s="23">
        <f t="shared" si="11"/>
        <v>-141.84849864622041</v>
      </c>
      <c r="J10" s="25" cm="1">
        <f t="array" ref="J10">_xldudf_WISE(A10, "Free Cash Flow", $AI$4)/F10</f>
        <v>2.5525397029155356E-3</v>
      </c>
      <c r="K10" s="23" cm="1">
        <f t="array" ref="K10">_xldudf_WISE(A10, "Revenue Growth", $AI$4)</f>
        <v>-4.4299999999999999E-2</v>
      </c>
      <c r="L10" s="23" cm="1">
        <f t="array" ref="L10">_xldudf_WISE(A10, "EPS Growth", $AI$4)</f>
        <v>-5.6161000000000003</v>
      </c>
      <c r="M10" s="23" cm="1">
        <f t="array" ref="M10">(_xldudf_WISE(A10,"Estimated EPS AVG",2027)-_xldudf_WISE(A10,"Estimated EPS AVG",2026))/_xldudf_WISE(A10,"Estimated EPS AVG",2026)</f>
        <v>-0.75458204387041161</v>
      </c>
      <c r="N10" s="26" t="str" cm="1">
        <f t="array" ref="N10">IF(_xldudf_WISE(A10,"EPS","LQ-0")&gt;_xldudf_WISE(A10,"EPS","LQ-1"),"Y","N")</f>
        <v>N</v>
      </c>
      <c r="O10" s="25" cm="1">
        <f t="array" ref="O10">_xldudf_WISE(A10, "PE Ratio", $AI$4)</f>
        <v>-0.88496566750000005</v>
      </c>
      <c r="P10" s="25">
        <f t="shared" si="12"/>
        <v>1.1727891946127198E-2</v>
      </c>
      <c r="Q10" s="25" cm="1">
        <f t="array" ref="Q10">_xldudf_WISE(A10, "Enterprise Value Over EBITDA", $AI$4)</f>
        <v>-2.9035892729000001</v>
      </c>
      <c r="R10" s="25" cm="1">
        <f t="array" ref="R10">_xldudf_WISE(A10, "Net Debt To EBITDA", $AI$4)</f>
        <v>-0.34284071440000002</v>
      </c>
      <c r="S10" s="25" cm="1">
        <f t="array" ref="S10">_xldudf_WISE(A10, "Current Ratio", $AI$4)</f>
        <v>5.6170469581000004</v>
      </c>
      <c r="T10" s="18" t="str" cm="1">
        <f t="array" ref="T10">_xldudf_WISEPRICE(A10,"Earnings Announcement")</f>
        <v>2026-05-05</v>
      </c>
      <c r="U10" s="19">
        <f t="shared" ca="1" si="13"/>
        <v>0</v>
      </c>
      <c r="V10" s="20">
        <v>40</v>
      </c>
      <c r="W10" s="21">
        <v>9000</v>
      </c>
      <c r="X10" s="22">
        <v>2.4</v>
      </c>
      <c r="Y10" s="15">
        <f t="shared" si="7"/>
        <v>1</v>
      </c>
      <c r="Z10" s="15">
        <f t="shared" si="0"/>
        <v>1.3</v>
      </c>
      <c r="AA10" s="15">
        <f t="shared" si="1"/>
        <v>5</v>
      </c>
      <c r="AB10" s="15">
        <f t="shared" si="2"/>
        <v>5</v>
      </c>
      <c r="AC10" s="15">
        <f t="shared" ca="1" si="3"/>
        <v>3.5</v>
      </c>
      <c r="AD10" s="15">
        <f t="shared" si="8"/>
        <v>3.3</v>
      </c>
      <c r="AE10" s="16">
        <f ca="1">IFERROR(ROUND(Y10*Weights!$B$6+Z10*Weights!$B$7+AA10*Weights!$B$8+AB10*Weights!$B$9+AC10*Weights!$B$10+AD10*Weights!$B$11,2),"")</f>
        <v>2.93</v>
      </c>
      <c r="AF10" s="14" t="str">
        <f t="shared" ca="1" si="9"/>
        <v>Pass</v>
      </c>
      <c r="AG10" s="17" t="str">
        <f t="shared" ca="1" si="4"/>
        <v>Skip</v>
      </c>
    </row>
    <row r="11" spans="1:35" x14ac:dyDescent="0.25">
      <c r="A11" s="30" t="s">
        <v>95</v>
      </c>
      <c r="B11" s="31" t="str" cm="1">
        <f t="array" ref="B11">_xldudf_WISEPRICE(A11, "Name")</f>
        <v>Atlassian Corporation</v>
      </c>
      <c r="C11" s="23" cm="1">
        <f t="array" ref="C11">_xldudf_WISE(A11, "ROE", $AI$4)</f>
        <v>-0.11192931170000001</v>
      </c>
      <c r="D11" s="23" cm="1">
        <f t="array" ref="D11">_xldudf_WISE(A11, "ROIC", $AI$4)</f>
        <v>-2.3687903699999999E-2</v>
      </c>
      <c r="E11" s="24" cm="1">
        <f t="array" ref="E11">_xldudf_WISE(A11, "Operating Income", $AI$4)</f>
        <v>-56283999</v>
      </c>
      <c r="F11" s="24" cm="1">
        <f t="array" ref="F11">_xldudf_WISE(A11, "Net Income",$AI$4)</f>
        <v>-98388999</v>
      </c>
      <c r="G11" s="24" cm="1">
        <f t="array" ref="G11">_xldudf_WISE(A11, "Revenue", $AI$4)</f>
        <v>1786971000</v>
      </c>
      <c r="H11" s="23">
        <f t="shared" si="10"/>
        <v>-5.505909105407978E-2</v>
      </c>
      <c r="I11" s="23">
        <f t="shared" si="11"/>
        <v>-3.1496873200516404E-2</v>
      </c>
      <c r="J11" s="25" cm="1">
        <f t="array" ref="J11">_xldudf_WISE(A11, "Free Cash Flow", $AI$4)/F11</f>
        <v>-5.704540199661956</v>
      </c>
      <c r="K11" s="23" cm="1">
        <f t="array" ref="K11">_xldudf_WISE(A11, "Revenue Growth", $AI$4)</f>
        <v>0.1265</v>
      </c>
      <c r="L11" s="23" cm="1">
        <f t="array" ref="L11">_xldudf_WISE(A11, "EPS Growth", $AI$4)</f>
        <v>-1.375</v>
      </c>
      <c r="M11" s="23" cm="1">
        <f t="array" ref="M11">(_xldudf_WISE(A11,"Estimated EPS AVG",2027)-_xldudf_WISE(A11,"Estimated EPS AVG",2026))/_xldudf_WISE(A11,"Estimated EPS AVG",2026)</f>
        <v>0.14501281548824899</v>
      </c>
      <c r="N11" s="26" t="str" cm="1">
        <f t="array" ref="N11">IF(_xldudf_WISE(A11,"EPS","LQ-0")&gt;_xldudf_WISE(A11,"EPS","LQ-1"),"Y","N")</f>
        <v>N</v>
      </c>
      <c r="O11" s="25" cm="1">
        <f t="array" ref="O11">_xldudf_WISE(A11, "PE Ratio", $AI$4)</f>
        <v>-45.256231293100001</v>
      </c>
      <c r="P11" s="25">
        <f t="shared" si="12"/>
        <v>-3.120843571013026</v>
      </c>
      <c r="Q11" s="25" cm="1">
        <f t="array" ref="Q11">_xldudf_WISE(A11, "Enterprise Value Over EBITDA", $AI$4)</f>
        <v>-1194.5024787832999</v>
      </c>
      <c r="R11" s="25" cm="1">
        <f t="array" ref="R11">_xldudf_WISE(A11, "Net Debt To EBITDA", $AI$4)</f>
        <v>-7.1117333333000001</v>
      </c>
      <c r="S11" s="25" cm="1">
        <f t="array" ref="S11">_xldudf_WISE(A11, "Current Ratio", $AI$4)</f>
        <v>0.70227065160000002</v>
      </c>
      <c r="T11" s="18" t="str" cm="1">
        <f t="array" ref="T11">_xldudf_WISEPRICE(A11,"Earnings Announcement")</f>
        <v>2026-07-30</v>
      </c>
      <c r="U11" s="19">
        <f t="shared" ca="1" si="13"/>
        <v>86</v>
      </c>
      <c r="V11" s="20">
        <v>40</v>
      </c>
      <c r="W11" s="21">
        <v>9000</v>
      </c>
      <c r="X11" s="22">
        <v>3.4</v>
      </c>
      <c r="Y11" s="15">
        <f t="shared" si="7"/>
        <v>1</v>
      </c>
      <c r="Z11" s="15">
        <f t="shared" si="0"/>
        <v>2.8</v>
      </c>
      <c r="AA11" s="15">
        <f t="shared" si="1"/>
        <v>5</v>
      </c>
      <c r="AB11" s="15">
        <f t="shared" si="2"/>
        <v>3</v>
      </c>
      <c r="AC11" s="15">
        <f t="shared" ca="1" si="3"/>
        <v>5</v>
      </c>
      <c r="AD11" s="15">
        <f t="shared" si="8"/>
        <v>3.3</v>
      </c>
      <c r="AE11" s="16">
        <f ca="1">IFERROR(ROUND(Y11*Weights!$B$6+Z11*Weights!$B$7+AA11*Weights!$B$8+AB11*Weights!$B$9+AC11*Weights!$B$10+AD11*Weights!$B$11,2),"")</f>
        <v>3.05</v>
      </c>
      <c r="AF11" s="14" t="str">
        <f t="shared" ca="1" si="9"/>
        <v>Hold/Watch</v>
      </c>
      <c r="AG11" s="17" t="str">
        <f t="shared" ca="1" si="4"/>
        <v>Quarter size or wait</v>
      </c>
    </row>
    <row r="12" spans="1:35" x14ac:dyDescent="0.25">
      <c r="A12" s="30" t="s">
        <v>101</v>
      </c>
      <c r="B12" s="31" t="str" cm="1">
        <f t="array" ref="B12">_xldudf_WISEPRICE(A12, "Name")</f>
        <v>Toast, Inc.</v>
      </c>
      <c r="C12" s="23" cm="1">
        <f t="array" ref="C12">_xldudf_WISE(A12, "ROE", $AI$4)</f>
        <v>4.7551789099999998E-2</v>
      </c>
      <c r="D12" s="23" cm="1">
        <f t="array" ref="D12">_xldudf_WISE(A12, "ROIC", $AI$4)</f>
        <v>4.0900735299999998E-2</v>
      </c>
      <c r="E12" s="24" cm="1">
        <f t="array" ref="E12">_xldudf_WISE(A12, "Operating Income", $AI$4)</f>
        <v>89000000</v>
      </c>
      <c r="F12" s="24" cm="1">
        <f t="array" ref="F12">_xldudf_WISE(A12, "Net Income",$AI$4)</f>
        <v>101000000</v>
      </c>
      <c r="G12" s="24" cm="1">
        <f t="array" ref="G12">_xldudf_WISE(A12, "Revenue", $AI$4)</f>
        <v>1633000000</v>
      </c>
      <c r="H12" s="23">
        <f t="shared" si="10"/>
        <v>6.1849357011635027E-2</v>
      </c>
      <c r="I12" s="23">
        <f t="shared" si="11"/>
        <v>5.4500918554807105E-2</v>
      </c>
      <c r="J12" s="25" cm="1">
        <f t="array" ref="J12">_xldudf_WISE(A12, "Free Cash Flow", $AI$4)/F12</f>
        <v>1.7623762376237624</v>
      </c>
      <c r="K12" s="23" cm="1">
        <f t="array" ref="K12">_xldudf_WISE(A12, "Revenue Growth", $AI$4)</f>
        <v>0</v>
      </c>
      <c r="L12" s="23" cm="1">
        <f t="array" ref="L12">_xldudf_WISE(A12, "EPS Growth", $AI$4)</f>
        <v>-5.5599999999999997E-2</v>
      </c>
      <c r="M12" s="23" cm="1">
        <f t="array" ref="M12">(_xldudf_WISE(A12,"Estimated EPS AVG",2027)-_xldudf_WISE(A12,"Estimated EPS AVG",2026))/_xldudf_WISE(A12,"Estimated EPS AVG",2026)</f>
        <v>0.27118993280081144</v>
      </c>
      <c r="N12" s="26" t="str" cm="1">
        <f t="array" ref="N12">IF(_xldudf_WISE(A12,"EPS","LQ-0")&gt;_xldudf_WISE(A12,"EPS","LQ-1"),"Y","N")</f>
        <v>N</v>
      </c>
      <c r="O12" s="25" cm="1">
        <f t="array" ref="O12">_xldudf_WISE(A12, "PE Ratio", $AI$4)</f>
        <v>51.682871287099999</v>
      </c>
      <c r="P12" s="25">
        <f t="shared" si="12"/>
        <v>1.9057813375786696</v>
      </c>
      <c r="Q12" s="25" cm="1">
        <f t="array" ref="Q12">_xldudf_WISE(A12, "Enterprise Value Over EBITDA", $AI$4)</f>
        <v>184.5932075472</v>
      </c>
      <c r="R12" s="25" cm="1">
        <f t="array" ref="R12">_xldudf_WISE(A12, "Net Debt To EBITDA", $AI$4)</f>
        <v>-12.3867924528</v>
      </c>
      <c r="S12" s="25" cm="1">
        <f t="array" ref="S12">_xldudf_WISE(A12, "Current Ratio", $AI$4)</f>
        <v>2.7543859649</v>
      </c>
      <c r="T12" s="18" t="str" cm="1">
        <f t="array" ref="T12">_xldudf_WISEPRICE(A12,"Earnings Announcement")</f>
        <v>2026-05-07</v>
      </c>
      <c r="U12" s="19">
        <f t="shared" ca="1" si="13"/>
        <v>2</v>
      </c>
      <c r="V12" s="20">
        <v>40</v>
      </c>
      <c r="W12" s="21">
        <v>9000</v>
      </c>
      <c r="X12" s="22">
        <v>4.4000000000000004</v>
      </c>
      <c r="Y12" s="15">
        <f t="shared" si="7"/>
        <v>2.2000000000000002</v>
      </c>
      <c r="Z12" s="15">
        <f t="shared" si="0"/>
        <v>2.5</v>
      </c>
      <c r="AA12" s="15">
        <f t="shared" si="1"/>
        <v>1.7</v>
      </c>
      <c r="AB12" s="15">
        <f t="shared" si="2"/>
        <v>5</v>
      </c>
      <c r="AC12" s="15">
        <f t="shared" ca="1" si="3"/>
        <v>4</v>
      </c>
      <c r="AD12" s="15">
        <f t="shared" si="8"/>
        <v>3.3</v>
      </c>
      <c r="AE12" s="16">
        <f ca="1">IFERROR(ROUND(Y12*Weights!$B$6+Z12*Weights!$B$7+AA12*Weights!$B$8+AB12*Weights!$B$9+AC12*Weights!$B$10+AD12*Weights!$B$11,2),"")</f>
        <v>2.92</v>
      </c>
      <c r="AF12" s="14" t="str">
        <f t="shared" ca="1" si="9"/>
        <v>Pass</v>
      </c>
      <c r="AG12" s="17" t="str">
        <f t="shared" ca="1" si="4"/>
        <v>Skip</v>
      </c>
    </row>
    <row r="13" spans="1:35" x14ac:dyDescent="0.25">
      <c r="A13" s="30" t="s">
        <v>159</v>
      </c>
      <c r="B13" s="31" t="str" cm="1">
        <f t="array" ref="B13">_xldudf_WISEPRICE(A13, "Name")</f>
        <v>Coinbase Global, Inc.</v>
      </c>
      <c r="C13" s="23" cm="1">
        <f t="array" ref="C13">_xldudf_WISE(A13, "ROE", $AI$4)</f>
        <v>-4.5070667600000003E-2</v>
      </c>
      <c r="D13" s="23" cm="1">
        <f t="array" ref="D13">_xldudf_WISE(A13, "ROIC", $AI$4)</f>
        <v>-1.4732391399999999E-2</v>
      </c>
      <c r="E13" s="24" cm="1">
        <f t="array" ref="E13">_xldudf_WISE(A13, "Operating Income", $AI$4)</f>
        <v>-444409000</v>
      </c>
      <c r="F13" s="24" cm="1">
        <f t="array" ref="F13">_xldudf_WISE(A13, "Net Income",$AI$4)</f>
        <v>-666733000</v>
      </c>
      <c r="G13" s="24" cm="1">
        <f t="array" ref="G13">_xldudf_WISE(A13, "Revenue", $AI$4)</f>
        <v>1032185999</v>
      </c>
      <c r="H13" s="23">
        <f t="shared" si="10"/>
        <v>-0.64594268924975018</v>
      </c>
      <c r="I13" s="23">
        <f t="shared" si="11"/>
        <v>-0.43055127702812407</v>
      </c>
      <c r="J13" s="25" cm="1">
        <f t="array" ref="J13">_xldudf_WISE(A13, "Free Cash Flow", $AI$4)/F13</f>
        <v>-4.5972690717273634</v>
      </c>
      <c r="K13" s="23" cm="1">
        <f t="array" ref="K13">_xldudf_WISE(A13, "Revenue Growth", $AI$4)</f>
        <v>-0.4476</v>
      </c>
      <c r="L13" s="23" cm="1">
        <f t="array" ref="L13">_xldudf_WISE(A13, "EPS Growth", $AI$4)</f>
        <v>-2.5091000000000001</v>
      </c>
      <c r="M13" s="23" cm="1">
        <f t="array" ref="M13">(_xldudf_WISE(A13,"Estimated EPS AVG",2027)-_xldudf_WISE(A13,"Estimated EPS AVG",2026))/_xldudf_WISE(A13,"Estimated EPS AVG",2026)</f>
        <v>0.85737188961727728</v>
      </c>
      <c r="N13" s="26" t="str" cm="1">
        <f t="array" ref="N13">IF(_xldudf_WISE(A13,"EPS","LQ-0")&gt;_xldudf_WISE(A13,"EPS","LQ-1"),"Y","N")</f>
        <v>N</v>
      </c>
      <c r="O13" s="25" cm="1">
        <f t="array" ref="O13">_xldudf_WISE(A13, "PE Ratio", $AI$4)</f>
        <v>-22.7474488963</v>
      </c>
      <c r="P13" s="25">
        <f t="shared" si="12"/>
        <v>-0.2653160101441423</v>
      </c>
      <c r="Q13" s="25" cm="1">
        <f t="array" ref="Q13">_xldudf_WISE(A13, "Enterprise Value Over EBITDA", $AI$4)</f>
        <v>-72.182753905499993</v>
      </c>
      <c r="R13" s="25" cm="1">
        <f t="array" ref="R13">_xldudf_WISE(A13, "Net Debt To EBITDA", $AI$4)</f>
        <v>4.3578119046000001</v>
      </c>
      <c r="S13" s="25" cm="1">
        <f t="array" ref="S13">_xldudf_WISE(A13, "Current Ratio", $AI$4)</f>
        <v>2.3431541466999999</v>
      </c>
      <c r="T13" s="18" t="str" cm="1">
        <f t="array" ref="T13">_xldudf_WISEPRICE(A13,"Earnings Announcement")</f>
        <v>2026-05-07</v>
      </c>
      <c r="U13" s="19">
        <f t="shared" ca="1" si="13"/>
        <v>2</v>
      </c>
      <c r="V13" s="20">
        <v>40</v>
      </c>
      <c r="W13" s="21">
        <v>9000</v>
      </c>
      <c r="X13" s="22">
        <v>5.4</v>
      </c>
      <c r="Y13" s="15">
        <f>IFERROR(ROUND((IF(C13&gt;=0.2,5,IF(C13&gt;=0.15,4,IF(C13&gt;=0.1,3,IF(C13&gt;=0.05,2,1))))+IF(D13&gt;=0.15,5,IF(D13&gt;=0.12,4,IF(D13&gt;=0.08,3,IF(D13&gt;=0.05,2,1))))+IF(H13&gt;=0.2,5,IF(H13&gt;=0.12,4,IF(H13&gt;=0.07,3,IF(H13&gt;=0.03,2,1))))+IF(I13&gt;=0.25,5,IF(I13&gt;=0.15,4,IF(I13&gt;=0.08,3,IF(I13&gt;=0.03,2,1))))+IF(J13&gt;=1,5,IF(J13&gt;=0.85,4,IF(J13&gt;=0.7,3,IF(J13&gt;=0.5,2,1)))))/5,1),"")</f>
        <v>1</v>
      </c>
      <c r="Z13" s="15">
        <f t="shared" si="0"/>
        <v>2.2999999999999998</v>
      </c>
      <c r="AA13" s="15">
        <f t="shared" si="1"/>
        <v>5</v>
      </c>
      <c r="AB13" s="15">
        <f t="shared" si="2"/>
        <v>3.5</v>
      </c>
      <c r="AC13" s="15">
        <f t="shared" ca="1" si="3"/>
        <v>4</v>
      </c>
      <c r="AD13" s="15">
        <f t="shared" si="8"/>
        <v>3.3</v>
      </c>
      <c r="AE13" s="16">
        <f ca="1">IFERROR(ROUND(Y13*Weights!$B$6+Z13*Weights!$B$7+AA13*Weights!$B$8+AB13*Weights!$B$9+AC13*Weights!$B$10+AD13*Weights!$B$11,2),"")</f>
        <v>2.93</v>
      </c>
      <c r="AF13" s="14" t="str">
        <f t="shared" ca="1" si="9"/>
        <v>Pass</v>
      </c>
      <c r="AG13" s="17" t="str">
        <f t="shared" ca="1" si="4"/>
        <v>Skip</v>
      </c>
    </row>
    <row r="14" spans="1:35" x14ac:dyDescent="0.25">
      <c r="A14" s="30" t="s">
        <v>100</v>
      </c>
      <c r="B14" s="31" t="str" cm="1">
        <f t="array" ref="B14">_xldudf_WISEPRICE(A14, "Name")</f>
        <v>Unity Software Inc.</v>
      </c>
      <c r="C14" s="23" cm="1">
        <f t="array" ref="C14">_xldudf_WISE(A14, "ROE", $AI$4)</f>
        <v>-2.7788382899999998E-2</v>
      </c>
      <c r="D14" s="23" cm="1">
        <f t="array" ref="D14">_xldudf_WISE(A14, "ROIC", $AI$4)</f>
        <v>-1.52823418E-2</v>
      </c>
      <c r="E14" s="24" cm="1">
        <f t="array" ref="E14">_xldudf_WISE(A14, "Operating Income", $AI$4)</f>
        <v>-97870000</v>
      </c>
      <c r="F14" s="24" cm="1">
        <f t="array" ref="F14">_xldudf_WISE(A14, "Net Income",$AI$4)</f>
        <v>-89963000</v>
      </c>
      <c r="G14" s="24" cm="1">
        <f t="array" ref="G14">_xldudf_WISE(A14, "Revenue", $AI$4)</f>
        <v>503089000</v>
      </c>
      <c r="H14" s="23">
        <f t="shared" si="10"/>
        <v>-0.17882124236467106</v>
      </c>
      <c r="I14" s="23">
        <f t="shared" si="11"/>
        <v>-0.19453814335038133</v>
      </c>
      <c r="J14" s="25" cm="1">
        <f t="array" ref="J14">_xldudf_WISE(A14, "Free Cash Flow", $AI$4)/F14</f>
        <v>-1.3192312395095762</v>
      </c>
      <c r="K14" s="23" cm="1">
        <f t="array" ref="K14">_xldudf_WISE(A14, "Revenue Growth", $AI$4)</f>
        <v>6.9000000000000006E-2</v>
      </c>
      <c r="L14" s="23" cm="1">
        <f t="array" ref="L14">_xldudf_WISE(A14, "EPS Growth", $AI$4)</f>
        <v>0.3</v>
      </c>
      <c r="M14" s="23" cm="1">
        <f t="array" ref="M14">(_xldudf_WISE(A14,"Estimated EPS AVG",2027)-_xldudf_WISE(A14,"Estimated EPS AVG",2026))/_xldudf_WISE(A14,"Estimated EPS AVG",2026)</f>
        <v>-0.75778316530171785</v>
      </c>
      <c r="N14" s="26" t="str" cm="1">
        <f t="array" ref="N14">IF(_xldudf_WISE(A14,"EPS","LQ-0")&gt;_xldudf_WISE(A14,"EPS","LQ-1"),"Y","N")</f>
        <v>Y</v>
      </c>
      <c r="O14" s="25" cm="1">
        <f t="array" ref="O14">_xldudf_WISE(A14, "PE Ratio", $AI$4)</f>
        <v>-52.759811283499999</v>
      </c>
      <c r="P14" s="25">
        <f t="shared" si="12"/>
        <v>0.6962388939122609</v>
      </c>
      <c r="Q14" s="25" cm="1">
        <f t="array" ref="Q14">_xldudf_WISE(A14, "Enterprise Value Over EBITDA", $AI$4)</f>
        <v>567.50430749789996</v>
      </c>
      <c r="R14" s="25" cm="1">
        <f t="array" ref="R14">_xldudf_WISE(A14, "Net Debt To EBITDA", $AI$4)</f>
        <v>9.6912974498000004</v>
      </c>
      <c r="S14" s="25" cm="1">
        <f t="array" ref="S14">_xldudf_WISE(A14, "Current Ratio", $AI$4)</f>
        <v>1.8431840940999999</v>
      </c>
      <c r="T14" s="18" t="str" cm="1">
        <f t="array" ref="T14">_xldudf_WISEPRICE(A14,"Earnings Announcement")</f>
        <v>2026-05-07</v>
      </c>
      <c r="U14" s="19">
        <f t="shared" ca="1" si="13"/>
        <v>2</v>
      </c>
      <c r="V14" s="20">
        <v>40</v>
      </c>
      <c r="W14" s="21">
        <v>9000</v>
      </c>
      <c r="X14" s="22">
        <v>6.4</v>
      </c>
      <c r="Y14" s="15">
        <f t="shared" ref="Y14:Y77" si="14">IFERROR(ROUND((IF(C14&gt;=0.2,5,IF(C14&gt;=0.15,4,IF(C14&gt;=0.1,3,IF(C14&gt;=0.05,2,1))))+IF(D14&gt;=0.15,5,IF(D14&gt;=0.12,4,IF(D14&gt;=0.08,3,IF(D14&gt;=0.05,2,1))))+IF(H14&gt;=0.2,5,IF(H14&gt;=0.12,4,IF(H14&gt;=0.07,3,IF(H14&gt;=0.03,2,1))))+IF(I14&gt;=0.25,5,IF(I14&gt;=0.15,4,IF(I14&gt;=0.08,3,IF(I14&gt;=0.03,2,1))))+IF(J14&gt;=1,5,IF(J14&gt;=0.85,4,IF(J14&gt;=0.7,3,IF(J14&gt;=0.5,2,1)))))/5,1),"")</f>
        <v>1</v>
      </c>
      <c r="Z14" s="15">
        <f t="shared" ref="Z14:Z77" si="15">IFERROR(ROUND((IF(K14&gt;=0.2,5,IF(K14&gt;=0.1,4,IF(K14&gt;=0.05,3,IF(K14&gt;=0,2,1))))+IF(L14&gt;=0.25,5,IF(L14&gt;=0.12,4,IF(L14&gt;=0.05,3,IF(L14&gt;=0,2,1))))+IF(M14&gt;=0.2,5,IF(M14&gt;=0.1,4,IF(M14&gt;=0.05,3,IF(M14&gt;=0,2,1))))+IF(UPPER(N14)="Y",5,2))/4,1),"")</f>
        <v>3.5</v>
      </c>
      <c r="AA14" s="15">
        <f t="shared" ref="AA14:AA77" si="16">IFERROR(ROUND((IF(O14&lt;=15,5,IF(O14&lt;=20,4,IF(O14&lt;=28,3,IF(O14&lt;=40,2,1))))+IF(P14&lt;=1,5,IF(P14&lt;=1.5,4,IF(P14&lt;=2,3,IF(P14&lt;=3,2,1))))+IF(Q14&lt;=10,5,IF(Q14&lt;=15,4,IF(Q14&lt;=22,3,IF(Q14&lt;=30,2,1)))))/3,1),"")</f>
        <v>3.7</v>
      </c>
      <c r="AB14" s="15">
        <f t="shared" ref="AB14:AB77" si="17">IFERROR(ROUND((IF(R14&lt;=0.5,5,IF(R14&lt;=1.5,4,IF(R14&lt;=3,3,IF(R14&lt;=4.5,2,1))))+IF(S14&gt;=2,5,IF(S14&gt;=1.5,4,IF(S14&gt;=1,3,IF(S14&gt;=0.8,2,1)))))/2,1),"")</f>
        <v>2.5</v>
      </c>
      <c r="AC14" s="15">
        <f t="shared" ref="AC14:AC77" ca="1" si="18">IFERROR(ROUND((IF(T14&gt;=45,5,IF(T14&gt;=30,4,IF(T14&gt;=21,3,IF(T14&gt;=14,2,1))))+IF(U14&gt;=5,5,IF(U14&gt;=3,4,IF(U14&gt;=1,3,IF(U14=0,2,1)))))/2,1),"")</f>
        <v>4</v>
      </c>
      <c r="AD14" s="15">
        <f t="shared" ref="AD14:AD77" si="19">IFERROR(ROUND((IF(V14&lt;=20,5,IF(V14&lt;=40,4,IF(V14&lt;=60,3,IF(V14&lt;=80,2,1))))+IF(W14&gt;=5000,5,IF(W14&gt;=2000,4,IF(W14&gt;=500,3,IF(W14&gt;=100,2,1))))+IF(X14&lt;=0.005,5,IF(X14&lt;=0.01,4,IF(X14&lt;=0.02,3,IF(X14&lt;=0.04,2,1)))))/3,1),"")</f>
        <v>3.3</v>
      </c>
      <c r="AE14" s="16">
        <f ca="1">IFERROR(ROUND(Y14*Weights!$B$6+Z14*Weights!$B$7+AA14*Weights!$B$8+AB14*Weights!$B$9+AC14*Weights!$B$10+AD14*Weights!$B$11,2),"")</f>
        <v>2.77</v>
      </c>
      <c r="AF14" s="14" t="str">
        <f t="shared" ca="1" si="9"/>
        <v>Pass</v>
      </c>
      <c r="AG14" s="17" t="str">
        <f t="shared" ref="AG14:AG77" ca="1" si="20">IF(AE14="","",IF(AE14&gt;=4,"Full size — stock or ITM call",IF(AE14&gt;=3.5,"Half size — ITM call preferred",IF(AE14&gt;=3,"Quarter size or wait","Skip"))))</f>
        <v>Skip</v>
      </c>
    </row>
    <row r="15" spans="1:35" x14ac:dyDescent="0.25">
      <c r="A15" s="30" t="s">
        <v>160</v>
      </c>
      <c r="B15" s="31" t="str" cm="1">
        <f t="array" ref="B15">_xldudf_WISEPRICE(A15, "Name")</f>
        <v>Corebridge Financial, Inc.</v>
      </c>
      <c r="C15" s="23" cm="1">
        <f t="array" ref="C15">_xldudf_WISE(A15, "ROE", $AI$4)</f>
        <v>6.1661995300000001E-2</v>
      </c>
      <c r="D15" s="23" cm="1">
        <f t="array" ref="D15">_xldudf_WISE(A15, "ROIC", $AI$4)</f>
        <v>2.0466839E-3</v>
      </c>
      <c r="E15" s="24" cm="1">
        <f t="array" ref="E15">_xldudf_WISE(A15, "Operating Income", $AI$4)</f>
        <v>971000000</v>
      </c>
      <c r="F15" s="24" cm="1">
        <f t="array" ref="F15">_xldudf_WISE(A15, "Net Income",$AI$4)</f>
        <v>814000000</v>
      </c>
      <c r="G15" s="24" cm="1">
        <f t="array" ref="G15">_xldudf_WISE(A15, "Revenue", $AI$4)</f>
        <v>720000000</v>
      </c>
      <c r="H15" s="23">
        <f t="shared" si="10"/>
        <v>1.1305555555555555</v>
      </c>
      <c r="I15" s="23">
        <f t="shared" si="11"/>
        <v>1.3486111111111112</v>
      </c>
      <c r="J15" s="25" cm="1">
        <f t="array" ref="J15">_xldudf_WISE(A15, "Free Cash Flow", $AI$4)/F15</f>
        <v>2.310810810810811</v>
      </c>
      <c r="K15" s="23" cm="1">
        <f t="array" ref="K15">_xldudf_WISE(A15, "Revenue Growth", $AI$4)</f>
        <v>-5.4999999999999997E-3</v>
      </c>
      <c r="L15" s="23" cm="1">
        <f t="array" ref="L15">_xldudf_WISE(A15, "EPS Growth", $AI$4)</f>
        <v>4.8888999999999996</v>
      </c>
      <c r="M15" s="23" cm="1">
        <f t="array" ref="M15">(_xldudf_WISE(A15,"Estimated EPS AVG",2027)-_xldudf_WISE(A15,"Estimated EPS AVG",2026))/_xldudf_WISE(A15,"Estimated EPS AVG",2026)</f>
        <v>0.20097872462508881</v>
      </c>
      <c r="N15" s="26" t="str" cm="1">
        <f t="array" ref="N15">IF(_xldudf_WISE(A15,"EPS","LQ-0")&gt;_xldudf_WISE(A15,"EPS","LQ-1"),"Y","N")</f>
        <v>Y</v>
      </c>
      <c r="O15" s="25" cm="1">
        <f t="array" ref="O15">_xldudf_WISE(A15, "PE Ratio", $AI$4)</f>
        <v>4.7312045454999998</v>
      </c>
      <c r="P15" s="25">
        <f t="shared" si="12"/>
        <v>0.23540822812592316</v>
      </c>
      <c r="Q15" s="25" cm="1">
        <f t="array" ref="Q15">_xldudf_WISE(A15, "Enterprise Value Over EBITDA", $AI$4)</f>
        <v>20.253564604499999</v>
      </c>
      <c r="R15" s="25" cm="1">
        <f t="array" ref="R15">_xldudf_WISE(A15, "Net Debt To EBITDA", $AI$4)</f>
        <v>8.1902897415999991</v>
      </c>
      <c r="S15" s="25" cm="1">
        <f t="array" ref="S15">_xldudf_WISE(A15, "Current Ratio", $AI$4)</f>
        <v>2.8411705007000001</v>
      </c>
      <c r="T15" s="18" t="str" cm="1">
        <f t="array" ref="T15">_xldudf_WISEPRICE(A15,"Earnings Announcement")</f>
        <v>2026-07-30</v>
      </c>
      <c r="U15" s="19">
        <f t="shared" ca="1" si="13"/>
        <v>86</v>
      </c>
      <c r="V15" s="20">
        <v>40</v>
      </c>
      <c r="W15" s="21">
        <v>9000</v>
      </c>
      <c r="X15" s="22">
        <v>7.4</v>
      </c>
      <c r="Y15" s="15">
        <f t="shared" si="14"/>
        <v>3.6</v>
      </c>
      <c r="Z15" s="15">
        <f t="shared" si="15"/>
        <v>4</v>
      </c>
      <c r="AA15" s="15">
        <f t="shared" si="16"/>
        <v>4.3</v>
      </c>
      <c r="AB15" s="15">
        <f t="shared" si="17"/>
        <v>3</v>
      </c>
      <c r="AC15" s="15">
        <f t="shared" ca="1" si="18"/>
        <v>5</v>
      </c>
      <c r="AD15" s="15">
        <f t="shared" si="19"/>
        <v>3.3</v>
      </c>
      <c r="AE15" s="16">
        <f ca="1">IFERROR(ROUND(Y15*Weights!$B$6+Z15*Weights!$B$7+AA15*Weights!$B$8+AB15*Weights!$B$9+AC15*Weights!$B$10+AD15*Weights!$B$11,2),"")</f>
        <v>3.86</v>
      </c>
      <c r="AF15" s="14" t="str">
        <f t="shared" ca="1" si="9"/>
        <v>Buy</v>
      </c>
      <c r="AG15" s="17" t="str">
        <f t="shared" ca="1" si="20"/>
        <v>Half size — ITM call preferred</v>
      </c>
    </row>
    <row r="16" spans="1:35" x14ac:dyDescent="0.25">
      <c r="A16" s="30" t="s">
        <v>103</v>
      </c>
      <c r="B16" s="31" t="str" cm="1">
        <f t="array" ref="B16">_xldudf_WISEPRICE(A16, "Name")</f>
        <v>Klaviyo, Inc.</v>
      </c>
      <c r="C16" s="23" cm="1">
        <f t="array" ref="C16">_xldudf_WISE(A16, "ROE", $AI$4)</f>
        <v>5.8735039999999999E-3</v>
      </c>
      <c r="D16" s="23" cm="1">
        <f t="array" ref="D16">_xldudf_WISE(A16, "ROIC", $AI$4)</f>
        <v>-1.2681474E-3</v>
      </c>
      <c r="E16" s="24" cm="1">
        <f t="array" ref="E16">_xldudf_WISE(A16, "Operating Income", $AI$4)</f>
        <v>-1846000</v>
      </c>
      <c r="F16" s="24" cm="1">
        <f t="array" ref="F16">_xldudf_WISE(A16, "Net Income",$AI$4)</f>
        <v>7028000</v>
      </c>
      <c r="G16" s="24" cm="1">
        <f t="array" ref="G16">_xldudf_WISE(A16, "Revenue", $AI$4)</f>
        <v>350195000</v>
      </c>
      <c r="H16" s="23">
        <f t="shared" si="10"/>
        <v>2.0068818800953753E-2</v>
      </c>
      <c r="I16" s="23">
        <f t="shared" si="11"/>
        <v>-5.2713488199431745E-3</v>
      </c>
      <c r="J16" s="25" cm="1">
        <f t="array" ref="J16">_xldudf_WISE(A16, "Free Cash Flow", $AI$4)/F16</f>
        <v>12.442800227660786</v>
      </c>
      <c r="K16" s="23" cm="1">
        <f t="array" ref="K16">_xldudf_WISE(A16, "Revenue Growth", $AI$4)</f>
        <v>0.1265</v>
      </c>
      <c r="L16" s="23" cm="1">
        <f t="array" ref="L16">_xldudf_WISE(A16, "EPS Growth", $AI$4)</f>
        <v>17.571400000000001</v>
      </c>
      <c r="M16" s="23" cm="1">
        <f t="array" ref="M16">(_xldudf_WISE(A16,"Estimated EPS AVG",2027)-_xldudf_WISE(A16,"Estimated EPS AVG",2026))/_xldudf_WISE(A16,"Estimated EPS AVG",2026)</f>
        <v>0.21243304030278473</v>
      </c>
      <c r="N16" s="26" t="str" cm="1">
        <f t="array" ref="N16">IF(_xldudf_WISE(A16,"EPS","LQ-0")&gt;_xldudf_WISE(A16,"EPS","LQ-1"),"Y","N")</f>
        <v>Y</v>
      </c>
      <c r="O16" s="25" cm="1">
        <f t="array" ref="O16">_xldudf_WISE(A16, "PE Ratio", $AI$4)</f>
        <v>349.99962213330002</v>
      </c>
      <c r="P16" s="25">
        <f t="shared" si="12"/>
        <v>16.475762039390816</v>
      </c>
      <c r="Q16" s="25" cm="1">
        <f t="array" ref="Q16">_xldudf_WISE(A16, "Enterprise Value Over EBITDA", $AI$4)</f>
        <v>2430.3449118607</v>
      </c>
      <c r="R16" s="25" cm="1">
        <f t="array" ref="R16">_xldudf_WISE(A16, "Net Debt To EBITDA", $AI$4)</f>
        <v>-257.9581967213</v>
      </c>
      <c r="S16" s="25" cm="1">
        <f t="array" ref="S16">_xldudf_WISE(A16, "Current Ratio", $AI$4)</f>
        <v>4.2733344434999996</v>
      </c>
      <c r="T16" s="18" t="str" cm="1">
        <f t="array" ref="T16">_xldudf_WISEPRICE(A16,"Earnings Announcement")</f>
        <v>2026-05-05</v>
      </c>
      <c r="U16" s="19">
        <f t="shared" ca="1" si="13"/>
        <v>0</v>
      </c>
      <c r="V16" s="20">
        <v>40</v>
      </c>
      <c r="W16" s="21">
        <v>9000</v>
      </c>
      <c r="X16" s="22">
        <v>8.4</v>
      </c>
      <c r="Y16" s="15">
        <f t="shared" si="14"/>
        <v>1.8</v>
      </c>
      <c r="Z16" s="15">
        <f t="shared" si="15"/>
        <v>4.8</v>
      </c>
      <c r="AA16" s="15">
        <f t="shared" si="16"/>
        <v>1</v>
      </c>
      <c r="AB16" s="15">
        <f t="shared" si="17"/>
        <v>5</v>
      </c>
      <c r="AC16" s="15">
        <f t="shared" ca="1" si="18"/>
        <v>3.5</v>
      </c>
      <c r="AD16" s="15">
        <f t="shared" si="19"/>
        <v>3.3</v>
      </c>
      <c r="AE16" s="16">
        <f ca="1">IFERROR(ROUND(Y16*Weights!$B$6+Z16*Weights!$B$7+AA16*Weights!$B$8+AB16*Weights!$B$9+AC16*Weights!$B$10+AD16*Weights!$B$11,2),"")</f>
        <v>3.2</v>
      </c>
      <c r="AF16" s="14" t="str">
        <f t="shared" ca="1" si="9"/>
        <v>Hold/Watch</v>
      </c>
      <c r="AG16" s="17" t="str">
        <f t="shared" ca="1" si="20"/>
        <v>Quarter size or wait</v>
      </c>
    </row>
    <row r="17" spans="1:33" x14ac:dyDescent="0.25">
      <c r="A17" s="30" t="s">
        <v>161</v>
      </c>
      <c r="B17" s="31" t="str" cm="1">
        <f t="array" ref="B17">_xldudf_WISEPRICE(A17, "Name")</f>
        <v>DraftKings Inc.</v>
      </c>
      <c r="C17" s="23" cm="1">
        <f t="array" ref="C17">_xldudf_WISE(A17, "ROE", $AI$4)</f>
        <v>0.2160481803</v>
      </c>
      <c r="D17" s="23" cm="1">
        <f t="array" ref="D17">_xldudf_WISE(A17, "ROIC", $AI$4)</f>
        <v>5.2839996600000001E-2</v>
      </c>
      <c r="E17" s="24" cm="1">
        <f t="array" ref="E17">_xldudf_WISE(A17, "Operating Income", $AI$4)</f>
        <v>158113000</v>
      </c>
      <c r="F17" s="24" cm="1">
        <f t="array" ref="F17">_xldudf_WISE(A17, "Net Income",$AI$4)</f>
        <v>136426000</v>
      </c>
      <c r="G17" s="24" cm="1">
        <f t="array" ref="G17">_xldudf_WISE(A17, "Revenue", $AI$4)</f>
        <v>1989193000</v>
      </c>
      <c r="H17" s="23">
        <f t="shared" si="10"/>
        <v>6.8583591436326183E-2</v>
      </c>
      <c r="I17" s="23">
        <f t="shared" si="11"/>
        <v>7.9486002615130863E-2</v>
      </c>
      <c r="J17" s="25" cm="1">
        <f t="array" ref="J17">_xldudf_WISE(A17, "Free Cash Flow", $AI$4)/F17</f>
        <v>2.3200636242358494</v>
      </c>
      <c r="K17" s="23" cm="1">
        <f t="array" ref="K17">_xldudf_WISE(A17, "Revenue Growth", $AI$4)</f>
        <v>0.73880000000000001</v>
      </c>
      <c r="L17" s="23" cm="1">
        <f t="array" ref="L17">_xldudf_WISE(A17, "EPS Growth", $AI$4)</f>
        <v>1.5385</v>
      </c>
      <c r="M17" s="23" cm="1">
        <f t="array" ref="M17">(_xldudf_WISE(A17,"Estimated EPS AVG",2027)-_xldudf_WISE(A17,"Estimated EPS AVG",2026))/_xldudf_WISE(A17,"Estimated EPS AVG",2026)</f>
        <v>3.0829115449505906</v>
      </c>
      <c r="N17" s="26" t="str" cm="1">
        <f t="array" ref="N17">IF(_xldudf_WISE(A17,"EPS","LQ-0")&gt;_xldudf_WISE(A17,"EPS","LQ-1"),"Y","N")</f>
        <v>Y</v>
      </c>
      <c r="O17" s="25" cm="1">
        <f t="array" ref="O17">_xldudf_WISE(A17, "PE Ratio", $AI$4)</f>
        <v>30.767875185099999</v>
      </c>
      <c r="P17" s="25">
        <f t="shared" si="12"/>
        <v>9.98013557524665E-2</v>
      </c>
      <c r="Q17" s="25" cm="1">
        <f t="array" ref="Q17">_xldudf_WISE(A17, "Enterprise Value Over EBITDA", $AI$4)</f>
        <v>73.755571850199999</v>
      </c>
      <c r="R17" s="25" cm="1">
        <f t="array" ref="R17">_xldudf_WISE(A17, "Net Debt To EBITDA", $AI$4)</f>
        <v>1.4200805635</v>
      </c>
      <c r="S17" s="25" cm="1">
        <f t="array" ref="S17">_xldudf_WISE(A17, "Current Ratio", $AI$4)</f>
        <v>1.0339156841999999</v>
      </c>
      <c r="T17" s="18" t="str" cm="1">
        <f t="array" ref="T17">_xldudf_WISEPRICE(A17,"Earnings Announcement")</f>
        <v>2026-05-07</v>
      </c>
      <c r="U17" s="19">
        <f t="shared" ca="1" si="13"/>
        <v>2</v>
      </c>
      <c r="V17" s="20">
        <v>40</v>
      </c>
      <c r="W17" s="21">
        <v>9000</v>
      </c>
      <c r="X17" s="22">
        <v>9.4</v>
      </c>
      <c r="Y17" s="15">
        <f t="shared" si="14"/>
        <v>3.2</v>
      </c>
      <c r="Z17" s="15">
        <f t="shared" si="15"/>
        <v>5</v>
      </c>
      <c r="AA17" s="15">
        <f t="shared" si="16"/>
        <v>2.7</v>
      </c>
      <c r="AB17" s="15">
        <f t="shared" si="17"/>
        <v>3.5</v>
      </c>
      <c r="AC17" s="15">
        <f t="shared" ca="1" si="18"/>
        <v>4</v>
      </c>
      <c r="AD17" s="15">
        <f t="shared" si="19"/>
        <v>3.3</v>
      </c>
      <c r="AE17" s="16">
        <f ca="1">IFERROR(ROUND(Y17*Weights!$B$6+Z17*Weights!$B$7+AA17*Weights!$B$8+AB17*Weights!$B$9+AC17*Weights!$B$10+AD17*Weights!$B$11,2),"")</f>
        <v>3.69</v>
      </c>
      <c r="AF17" s="14" t="str">
        <f t="shared" ca="1" si="9"/>
        <v>Buy</v>
      </c>
      <c r="AG17" s="17" t="str">
        <f t="shared" ca="1" si="20"/>
        <v>Half size — ITM call preferred</v>
      </c>
    </row>
    <row r="18" spans="1:33" x14ac:dyDescent="0.25">
      <c r="A18" s="30" t="s">
        <v>99</v>
      </c>
      <c r="B18" s="31" t="str" cm="1">
        <f t="array" ref="B18">_xldudf_WISEPRICE(A18, "Name")</f>
        <v>Salesforce, Inc.</v>
      </c>
      <c r="C18" s="23" cm="1">
        <f t="array" ref="C18">_xldudf_WISE(A18, "ROE", $AI$4)</f>
        <v>3.2853133100000001E-2</v>
      </c>
      <c r="D18" s="23" cm="1">
        <f t="array" ref="D18">_xldudf_WISE(A18, "ROIC", $AI$4)</f>
        <v>2.2726981199999999E-2</v>
      </c>
      <c r="E18" s="24" cm="1">
        <f t="array" ref="E18">_xldudf_WISE(A18, "Operating Income", $AI$4)</f>
        <v>2451000000</v>
      </c>
      <c r="F18" s="24" cm="1">
        <f t="array" ref="F18">_xldudf_WISE(A18, "Net Income",$AI$4)</f>
        <v>1943000000</v>
      </c>
      <c r="G18" s="24" cm="1">
        <f t="array" ref="G18">_xldudf_WISE(A18, "Revenue", $AI$4)</f>
        <v>11201000000</v>
      </c>
      <c r="H18" s="23">
        <f t="shared" si="10"/>
        <v>0.1734666547629676</v>
      </c>
      <c r="I18" s="23">
        <f t="shared" si="11"/>
        <v>0.21881974823676456</v>
      </c>
      <c r="J18" s="25" cm="1">
        <f t="array" ref="J18">_xldudf_WISE(A18, "Free Cash Flow", $AI$4)/F18</f>
        <v>2.7395779722079259</v>
      </c>
      <c r="K18" s="23" cm="1">
        <f t="array" ref="K18">_xldudf_WISE(A18, "Revenue Growth", $AI$4)</f>
        <v>9.1800000000000007E-2</v>
      </c>
      <c r="L18" s="23" cm="1">
        <f t="array" ref="L18">_xldudf_WISE(A18, "EPS Growth", $AI$4)</f>
        <v>-5.0200000000000002E-2</v>
      </c>
      <c r="M18" s="23" cm="1">
        <f t="array" ref="M18">(_xldudf_WISE(A18,"Estimated EPS AVG",2027)-_xldudf_WISE(A18,"Estimated EPS AVG",2026))/_xldudf_WISE(A18,"Estimated EPS AVG",2026)</f>
        <v>0.12138335137889307</v>
      </c>
      <c r="N18" s="26" t="str" cm="1">
        <f t="array" ref="N18">IF(_xldudf_WISE(A18,"EPS","LQ-0")&gt;_xldudf_WISE(A18,"EPS","LQ-1"),"Y","N")</f>
        <v>N</v>
      </c>
      <c r="O18" s="25" cm="1">
        <f t="array" ref="O18">_xldudf_WISE(A18, "PE Ratio", $AI$4)</f>
        <v>25.539262738000001</v>
      </c>
      <c r="P18" s="25">
        <f t="shared" si="12"/>
        <v>2.104016938721708</v>
      </c>
      <c r="Q18" s="25" cm="1">
        <f t="array" ref="Q18">_xldudf_WISE(A18, "Enterprise Value Over EBITDA", $AI$4)</f>
        <v>55.587019743900001</v>
      </c>
      <c r="R18" s="25" cm="1">
        <f t="array" ref="R18">_xldudf_WISE(A18, "Net Debt To EBITDA", $AI$4)</f>
        <v>2.6278014940999999</v>
      </c>
      <c r="S18" s="25" cm="1">
        <f t="array" ref="S18">_xldudf_WISE(A18, "Current Ratio", $AI$4)</f>
        <v>0.76033191440000003</v>
      </c>
      <c r="T18" s="18" t="str" cm="1">
        <f t="array" ref="T18">_xldudf_WISEPRICE(A18,"Earnings Announcement")</f>
        <v>2026-05-27</v>
      </c>
      <c r="U18" s="19">
        <f t="shared" ca="1" si="13"/>
        <v>22</v>
      </c>
      <c r="V18" s="20">
        <v>40</v>
      </c>
      <c r="W18" s="21">
        <v>9000</v>
      </c>
      <c r="X18" s="22">
        <v>10.4</v>
      </c>
      <c r="Y18" s="15">
        <f t="shared" si="14"/>
        <v>3</v>
      </c>
      <c r="Z18" s="15">
        <f t="shared" si="15"/>
        <v>2.5</v>
      </c>
      <c r="AA18" s="15">
        <f t="shared" si="16"/>
        <v>2</v>
      </c>
      <c r="AB18" s="15">
        <f t="shared" si="17"/>
        <v>2</v>
      </c>
      <c r="AC18" s="15">
        <f t="shared" ca="1" si="18"/>
        <v>5</v>
      </c>
      <c r="AD18" s="15">
        <f t="shared" si="19"/>
        <v>3.3</v>
      </c>
      <c r="AE18" s="16">
        <f ca="1">IFERROR(ROUND(Y18*Weights!$B$6+Z18*Weights!$B$7+AA18*Weights!$B$8+AB18*Weights!$B$9+AC18*Weights!$B$10+AD18*Weights!$B$11,2),"")</f>
        <v>2.68</v>
      </c>
      <c r="AF18" s="14" t="str">
        <f t="shared" ca="1" si="9"/>
        <v>Pass</v>
      </c>
      <c r="AG18" s="17" t="str">
        <f t="shared" ca="1" si="20"/>
        <v>Skip</v>
      </c>
    </row>
    <row r="19" spans="1:33" x14ac:dyDescent="0.25">
      <c r="A19" s="30" t="s">
        <v>162</v>
      </c>
      <c r="B19" s="31" t="str" cm="1">
        <f t="array" ref="B19">_xldudf_WISEPRICE(A19, "Name")</f>
        <v>Snowflake Inc.</v>
      </c>
      <c r="C19" s="23" cm="1">
        <f t="array" ref="C19">_xldudf_WISE(A19, "ROE", $AI$4)</f>
        <v>-0.16088024440000001</v>
      </c>
      <c r="D19" s="23" cm="1">
        <f t="array" ref="D19">_xldudf_WISE(A19, "ROIC", $AI$4)</f>
        <v>-6.6834481599999995E-2</v>
      </c>
      <c r="E19" s="24" cm="1">
        <f t="array" ref="E19">_xldudf_WISE(A19, "Operating Income", $AI$4)</f>
        <v>-318159000</v>
      </c>
      <c r="F19" s="24" cm="1">
        <f t="array" ref="F19">_xldudf_WISE(A19, "Net Income",$AI$4)</f>
        <v>-309550000</v>
      </c>
      <c r="G19" s="24" cm="1">
        <f t="array" ref="G19">_xldudf_WISE(A19, "Revenue", $AI$4)</f>
        <v>1283994000</v>
      </c>
      <c r="H19" s="23">
        <f t="shared" si="10"/>
        <v>-0.24108368107639133</v>
      </c>
      <c r="I19" s="23">
        <f t="shared" si="11"/>
        <v>-0.24778854106794893</v>
      </c>
      <c r="J19" s="25" cm="1">
        <f t="array" ref="J19">_xldudf_WISE(A19, "Free Cash Flow", $AI$4)/F19</f>
        <v>-2.4716039412049748</v>
      </c>
      <c r="K19" s="23" cm="1">
        <f t="array" ref="K19">_xldudf_WISE(A19, "Revenue Growth", $AI$4)</f>
        <v>5.8599999999999999E-2</v>
      </c>
      <c r="L19" s="23" cm="1">
        <f t="array" ref="L19">_xldudf_WISE(A19, "EPS Growth", $AI$4)</f>
        <v>-3.4500000000000003E-2</v>
      </c>
      <c r="M19" s="23" cm="1">
        <f t="array" ref="M19">(_xldudf_WISE(A19,"Estimated EPS AVG",2027)-_xldudf_WISE(A19,"Estimated EPS AVG",2026))/_xldudf_WISE(A19,"Estimated EPS AVG",2026)</f>
        <v>0.47786668866523674</v>
      </c>
      <c r="N19" s="26" t="str" cm="1">
        <f t="array" ref="N19">IF(_xldudf_WISE(A19,"EPS","LQ-0")&gt;_xldudf_WISE(A19,"EPS","LQ-1"),"Y","N")</f>
        <v>N</v>
      </c>
      <c r="O19" s="25" cm="1">
        <f t="array" ref="O19">_xldudf_WISE(A19, "PE Ratio", $AI$4)</f>
        <v>-53.271076158900001</v>
      </c>
      <c r="P19" s="25">
        <f t="shared" si="12"/>
        <v>-1.1147685624979471</v>
      </c>
      <c r="Q19" s="25" cm="1">
        <f t="array" ref="Q19">_xldudf_WISE(A19, "Enterprise Value Over EBITDA", $AI$4)</f>
        <v>-219.7091504903</v>
      </c>
      <c r="R19" s="25" cm="1">
        <f t="array" ref="R19">_xldudf_WISE(A19, "Net Debt To EBITDA", $AI$4)</f>
        <v>0.2903375359</v>
      </c>
      <c r="S19" s="25" cm="1">
        <f t="array" ref="S19">_xldudf_WISE(A19, "Current Ratio", $AI$4)</f>
        <v>1.2987366145999999</v>
      </c>
      <c r="T19" s="18" t="str" cm="1">
        <f t="array" ref="T19">_xldudf_WISEPRICE(A19,"Earnings Announcement")</f>
        <v>2026-05-27</v>
      </c>
      <c r="U19" s="19">
        <f t="shared" ca="1" si="13"/>
        <v>22</v>
      </c>
      <c r="V19" s="20">
        <v>40</v>
      </c>
      <c r="W19" s="21">
        <v>9000</v>
      </c>
      <c r="X19" s="22">
        <v>11.4</v>
      </c>
      <c r="Y19" s="15">
        <f t="shared" si="14"/>
        <v>1</v>
      </c>
      <c r="Z19" s="15">
        <f t="shared" si="15"/>
        <v>2.8</v>
      </c>
      <c r="AA19" s="15">
        <f t="shared" si="16"/>
        <v>5</v>
      </c>
      <c r="AB19" s="15">
        <f t="shared" si="17"/>
        <v>4</v>
      </c>
      <c r="AC19" s="15">
        <f t="shared" ca="1" si="18"/>
        <v>5</v>
      </c>
      <c r="AD19" s="15">
        <f t="shared" si="19"/>
        <v>3.3</v>
      </c>
      <c r="AE19" s="16">
        <f ca="1">IFERROR(ROUND(Y19*Weights!$B$6+Z19*Weights!$B$7+AA19*Weights!$B$8+AB19*Weights!$B$9+AC19*Weights!$B$10+AD19*Weights!$B$11,2),"")</f>
        <v>3.25</v>
      </c>
      <c r="AF19" s="14" t="str">
        <f t="shared" ca="1" si="9"/>
        <v>Hold/Watch</v>
      </c>
      <c r="AG19" s="17" t="str">
        <f t="shared" ca="1" si="20"/>
        <v>Quarter size or wait</v>
      </c>
    </row>
    <row r="20" spans="1:33" x14ac:dyDescent="0.25">
      <c r="A20" s="30" t="s">
        <v>106</v>
      </c>
      <c r="B20" s="31" t="str" cm="1">
        <f t="array" ref="B20">_xldudf_WISEPRICE(A20, "Name")</f>
        <v>Adobe Inc.</v>
      </c>
      <c r="C20" s="23" cm="1">
        <f t="array" ref="C20">_xldudf_WISE(A20, "ROE", $AI$4)</f>
        <v>0.1652234759</v>
      </c>
      <c r="D20" s="23" cm="1">
        <f t="array" ref="D20">_xldudf_WISE(A20, "ROIC", $AI$4)</f>
        <v>9.7983076000000002E-2</v>
      </c>
      <c r="E20" s="24" cm="1">
        <f t="array" ref="E20">_xldudf_WISE(A20, "Operating Income", $AI$4)</f>
        <v>2418000000</v>
      </c>
      <c r="F20" s="24" cm="1">
        <f t="array" ref="F20">_xldudf_WISE(A20, "Net Income",$AI$4)</f>
        <v>1889000000</v>
      </c>
      <c r="G20" s="24" cm="1">
        <f t="array" ref="G20">_xldudf_WISE(A20, "Revenue", $AI$4)</f>
        <v>6398000000</v>
      </c>
      <c r="H20" s="23">
        <f t="shared" si="10"/>
        <v>0.29524851516098782</v>
      </c>
      <c r="I20" s="23">
        <f t="shared" si="11"/>
        <v>0.37793060331353551</v>
      </c>
      <c r="J20" s="25" cm="1">
        <f t="array" ref="J20">_xldudf_WISE(A20, "Free Cash Flow", $AI$4)/F20</f>
        <v>1.5463208046585495</v>
      </c>
      <c r="K20" s="23" cm="1">
        <f t="array" ref="K20">_xldudf_WISE(A20, "Revenue Growth", $AI$4)</f>
        <v>3.2899999999999999E-2</v>
      </c>
      <c r="L20" s="23" cm="1">
        <f t="array" ref="L20">_xldudf_WISE(A20, "EPS Growth", $AI$4)</f>
        <v>3.5999999999999997E-2</v>
      </c>
      <c r="M20" s="23" cm="1">
        <f t="array" ref="M20">(_xldudf_WISE(A20,"Estimated EPS AVG",2027)-_xldudf_WISE(A20,"Estimated EPS AVG",2026))/_xldudf_WISE(A20,"Estimated EPS AVG",2026)</f>
        <v>0.12299648399354425</v>
      </c>
      <c r="N20" s="26" t="str" cm="1">
        <f t="array" ref="N20">IF(_xldudf_WISE(A20,"EPS","LQ-0")&gt;_xldudf_WISE(A20,"EPS","LQ-1"),"Y","N")</f>
        <v>Y</v>
      </c>
      <c r="O20" s="25" cm="1">
        <f t="array" ref="O20">_xldudf_WISE(A20, "PE Ratio", $AI$4)</f>
        <v>14.2387638962</v>
      </c>
      <c r="P20" s="25">
        <f t="shared" si="12"/>
        <v>1.1576561730778707</v>
      </c>
      <c r="Q20" s="25" cm="1">
        <f t="array" ref="Q20">_xldudf_WISE(A20, "Enterprise Value Over EBITDA", $AI$4)</f>
        <v>41.632754629600001</v>
      </c>
      <c r="R20" s="25" cm="1">
        <f t="array" ref="R20">_xldudf_WISE(A20, "Net Debt To EBITDA", $AI$4)</f>
        <v>0.125</v>
      </c>
      <c r="S20" s="25" cm="1">
        <f t="array" ref="S20">_xldudf_WISE(A20, "Current Ratio", $AI$4)</f>
        <v>0.91185250220000003</v>
      </c>
      <c r="T20" s="18" t="str" cm="1">
        <f t="array" ref="T20">_xldudf_WISEPRICE(A20,"Earnings Announcement")</f>
        <v>2026-06-11</v>
      </c>
      <c r="U20" s="19">
        <f t="shared" ca="1" si="13"/>
        <v>37</v>
      </c>
      <c r="V20" s="20">
        <v>40</v>
      </c>
      <c r="W20" s="21">
        <v>9000</v>
      </c>
      <c r="X20" s="22">
        <v>12.4</v>
      </c>
      <c r="Y20" s="15">
        <f t="shared" si="14"/>
        <v>4.4000000000000004</v>
      </c>
      <c r="Z20" s="15">
        <f t="shared" si="15"/>
        <v>3.3</v>
      </c>
      <c r="AA20" s="15">
        <f t="shared" si="16"/>
        <v>3.3</v>
      </c>
      <c r="AB20" s="15">
        <f t="shared" si="17"/>
        <v>3.5</v>
      </c>
      <c r="AC20" s="15">
        <f t="shared" ca="1" si="18"/>
        <v>5</v>
      </c>
      <c r="AD20" s="15">
        <f t="shared" si="19"/>
        <v>3.3</v>
      </c>
      <c r="AE20" s="16">
        <f ca="1">IFERROR(ROUND(Y20*Weights!$B$6+Z20*Weights!$B$7+AA20*Weights!$B$8+AB20*Weights!$B$9+AC20*Weights!$B$10+AD20*Weights!$B$11,2),"")</f>
        <v>3.79</v>
      </c>
      <c r="AF20" s="14" t="str">
        <f t="shared" ca="1" si="9"/>
        <v>Buy</v>
      </c>
      <c r="AG20" s="17" t="str">
        <f t="shared" ca="1" si="20"/>
        <v>Half size — ITM call preferred</v>
      </c>
    </row>
    <row r="21" spans="1:33" x14ac:dyDescent="0.25">
      <c r="A21" s="30" t="s">
        <v>117</v>
      </c>
      <c r="B21" s="31" t="str" cm="1">
        <f t="array" ref="B21">_xldudf_WISEPRICE(A21, "Name")</f>
        <v>Varonis Systems, Inc.</v>
      </c>
      <c r="C21" s="23" cm="1">
        <f t="array" ref="C21">_xldudf_WISE(A21, "ROE", $AI$4)</f>
        <v>-8.1263381600000004E-2</v>
      </c>
      <c r="D21" s="23" cm="1">
        <f t="array" ref="D21">_xldudf_WISE(A21, "ROIC", $AI$4)</f>
        <v>-4.1112713000000002E-2</v>
      </c>
      <c r="E21" s="24" cm="1">
        <f t="array" ref="E21">_xldudf_WISE(A21, "Operating Income", $AI$4)</f>
        <v>-44481000</v>
      </c>
      <c r="F21" s="24" cm="1">
        <f t="array" ref="F21">_xldudf_WISE(A21, "Net Income",$AI$4)</f>
        <v>-36854000</v>
      </c>
      <c r="G21" s="24" cm="1">
        <f t="array" ref="G21">_xldudf_WISE(A21, "Revenue", $AI$4)</f>
        <v>173126000</v>
      </c>
      <c r="H21" s="23">
        <f t="shared" si="10"/>
        <v>-0.21287386065640054</v>
      </c>
      <c r="I21" s="23">
        <f t="shared" si="11"/>
        <v>-0.25692847983549555</v>
      </c>
      <c r="J21" s="25" cm="1">
        <f t="array" ref="J21">_xldudf_WISE(A21, "Free Cash Flow", $AI$4)/F21</f>
        <v>-1.3586313561621535</v>
      </c>
      <c r="K21" s="23" cm="1">
        <f t="array" ref="K21">_xldudf_WISE(A21, "Revenue Growth", $AI$4)</f>
        <v>-1.4E-3</v>
      </c>
      <c r="L21" s="23" cm="1">
        <f t="array" ref="L21">_xldudf_WISE(A21, "EPS Growth", $AI$4)</f>
        <v>-0.39129999999999998</v>
      </c>
      <c r="M21" s="23" cm="1">
        <f t="array" ref="M21">(_xldudf_WISE(A21,"Estimated EPS AVG",2027)-_xldudf_WISE(A21,"Estimated EPS AVG",2026))/_xldudf_WISE(A21,"Estimated EPS AVG",2026)</f>
        <v>2.3057362507392076</v>
      </c>
      <c r="N21" s="26" t="str" cm="1">
        <f t="array" ref="N21">IF(_xldudf_WISE(A21,"EPS","LQ-0")&gt;_xldudf_WISE(A21,"EPS","LQ-1"),"Y","N")</f>
        <v>N</v>
      </c>
      <c r="O21" s="25" cm="1">
        <f t="array" ref="O21">_xldudf_WISE(A21, "PE Ratio", $AI$4)</f>
        <v>-16.8636353562</v>
      </c>
      <c r="P21" s="25">
        <f t="shared" si="12"/>
        <v>-7.3137746569208004E-2</v>
      </c>
      <c r="Q21" s="25" cm="1">
        <f t="array" ref="Q21">_xldudf_WISE(A21, "Enterprise Value Over EBITDA", $AI$4)</f>
        <v>-70.222809322200007</v>
      </c>
      <c r="R21" s="25" cm="1">
        <f t="array" ref="R21">_xldudf_WISE(A21, "Net Debt To EBITDA", $AI$4)</f>
        <v>-8.2702669025999995</v>
      </c>
      <c r="S21" s="25" cm="1">
        <f t="array" ref="S21">_xldudf_WISE(A21, "Current Ratio", $AI$4)</f>
        <v>1.6927862526999999</v>
      </c>
      <c r="T21" s="18" t="str" cm="1">
        <f t="array" ref="T21">_xldudf_WISEPRICE(A21,"Earnings Announcement")</f>
        <v>2026-07-28</v>
      </c>
      <c r="U21" s="19">
        <f t="shared" ca="1" si="13"/>
        <v>84</v>
      </c>
      <c r="V21" s="20">
        <v>40</v>
      </c>
      <c r="W21" s="21">
        <v>9000</v>
      </c>
      <c r="X21" s="22">
        <v>13.4</v>
      </c>
      <c r="Y21" s="15">
        <f t="shared" si="14"/>
        <v>1</v>
      </c>
      <c r="Z21" s="15">
        <f t="shared" si="15"/>
        <v>2.2999999999999998</v>
      </c>
      <c r="AA21" s="15">
        <f t="shared" si="16"/>
        <v>5</v>
      </c>
      <c r="AB21" s="15">
        <f t="shared" si="17"/>
        <v>4.5</v>
      </c>
      <c r="AC21" s="15">
        <f t="shared" ca="1" si="18"/>
        <v>5</v>
      </c>
      <c r="AD21" s="15">
        <f t="shared" si="19"/>
        <v>3.3</v>
      </c>
      <c r="AE21" s="16">
        <f ca="1">IFERROR(ROUND(Y21*Weights!$B$6+Z21*Weights!$B$7+AA21*Weights!$B$8+AB21*Weights!$B$9+AC21*Weights!$B$10+AD21*Weights!$B$11,2),"")</f>
        <v>3.23</v>
      </c>
      <c r="AF21" s="14" t="str">
        <f t="shared" ca="1" si="9"/>
        <v>Hold/Watch</v>
      </c>
      <c r="AG21" s="17" t="str">
        <f t="shared" ca="1" si="20"/>
        <v>Quarter size or wait</v>
      </c>
    </row>
    <row r="22" spans="1:33" x14ac:dyDescent="0.25">
      <c r="A22" s="30" t="s">
        <v>102</v>
      </c>
      <c r="B22" s="31" t="str" cm="1">
        <f t="array" ref="B22">_xldudf_WISEPRICE(A22, "Name")</f>
        <v>Veeva Systems Inc.</v>
      </c>
      <c r="C22" s="23" cm="1">
        <f t="array" ref="C22">_xldudf_WISE(A22, "ROE", $AI$4)</f>
        <v>3.3847871699999997E-2</v>
      </c>
      <c r="D22" s="23" cm="1">
        <f t="array" ref="D22">_xldudf_WISE(A22, "ROIC", $AI$4)</f>
        <v>2.57113551E-2</v>
      </c>
      <c r="E22" s="24" cm="1">
        <f t="array" ref="E22">_xldudf_WISE(A22, "Operating Income", $AI$4)</f>
        <v>245876000</v>
      </c>
      <c r="F22" s="24" cm="1">
        <f t="array" ref="F22">_xldudf_WISE(A22, "Net Income",$AI$4)</f>
        <v>244204000</v>
      </c>
      <c r="G22" s="24" cm="1">
        <f t="array" ref="G22">_xldudf_WISE(A22, "Revenue", $AI$4)</f>
        <v>835951000</v>
      </c>
      <c r="H22" s="23">
        <f t="shared" si="10"/>
        <v>0.29212717013317768</v>
      </c>
      <c r="I22" s="23">
        <f t="shared" si="11"/>
        <v>0.29412728736492927</v>
      </c>
      <c r="J22" s="25" cm="1">
        <f t="array" ref="J22">_xldudf_WISE(A22, "Free Cash Flow", $AI$4)/F22</f>
        <v>0.40874842344924733</v>
      </c>
      <c r="K22" s="23" cm="1">
        <f t="array" ref="K22">_xldudf_WISE(A22, "Revenue Growth", $AI$4)</f>
        <v>3.0499999999999999E-2</v>
      </c>
      <c r="L22" s="23" cm="1">
        <f t="array" ref="L22">_xldudf_WISE(A22, "EPS Growth", $AI$4)</f>
        <v>3.4700000000000002E-2</v>
      </c>
      <c r="M22" s="23" cm="1">
        <f t="array" ref="M22">(_xldudf_WISE(A22,"Estimated EPS AVG",2027)-_xldudf_WISE(A22,"Estimated EPS AVG",2026))/_xldudf_WISE(A22,"Estimated EPS AVG",2026)</f>
        <v>0.11603122072112922</v>
      </c>
      <c r="N22" s="26" t="str" cm="1">
        <f t="array" ref="N22">IF(_xldudf_WISE(A22,"EPS","LQ-0")&gt;_xldudf_WISE(A22,"EPS","LQ-1"),"Y","N")</f>
        <v>Y</v>
      </c>
      <c r="O22" s="25" cm="1">
        <f t="array" ref="O22">_xldudf_WISE(A22, "PE Ratio", $AI$4)</f>
        <v>34.308226482800002</v>
      </c>
      <c r="P22" s="25">
        <f t="shared" si="12"/>
        <v>2.9568099231892764</v>
      </c>
      <c r="Q22" s="25" cm="1">
        <f t="array" ref="Q22">_xldudf_WISE(A22, "Enterprise Value Over EBITDA", $AI$4)</f>
        <v>130.90928175179999</v>
      </c>
      <c r="R22" s="25" cm="1">
        <f t="array" ref="R22">_xldudf_WISE(A22, "Net Debt To EBITDA", $AI$4)</f>
        <v>-5.3904163073999998</v>
      </c>
      <c r="S22" s="25" cm="1">
        <f t="array" ref="S22">_xldudf_WISE(A22, "Current Ratio", $AI$4)</f>
        <v>4.8853734997</v>
      </c>
      <c r="T22" s="18" t="str" cm="1">
        <f t="array" ref="T22">_xldudf_WISEPRICE(A22,"Earnings Announcement")</f>
        <v>2026-05-27</v>
      </c>
      <c r="U22" s="19">
        <f t="shared" ca="1" si="13"/>
        <v>22</v>
      </c>
      <c r="V22" s="20">
        <v>40</v>
      </c>
      <c r="W22" s="21">
        <v>9000</v>
      </c>
      <c r="X22" s="22">
        <v>14.4</v>
      </c>
      <c r="Y22" s="15">
        <f t="shared" si="14"/>
        <v>2.6</v>
      </c>
      <c r="Z22" s="15">
        <f t="shared" si="15"/>
        <v>3.3</v>
      </c>
      <c r="AA22" s="15">
        <f t="shared" si="16"/>
        <v>1.7</v>
      </c>
      <c r="AB22" s="15">
        <f t="shared" si="17"/>
        <v>5</v>
      </c>
      <c r="AC22" s="15">
        <f t="shared" ca="1" si="18"/>
        <v>5</v>
      </c>
      <c r="AD22" s="15">
        <f t="shared" si="19"/>
        <v>3.3</v>
      </c>
      <c r="AE22" s="16">
        <f ca="1">IFERROR(ROUND(Y22*Weights!$B$6+Z22*Weights!$B$7+AA22*Weights!$B$8+AB22*Weights!$B$9+AC22*Weights!$B$10+AD22*Weights!$B$11,2),"")</f>
        <v>3.32</v>
      </c>
      <c r="AF22" s="14" t="str">
        <f t="shared" ca="1" si="9"/>
        <v>Hold/Watch</v>
      </c>
      <c r="AG22" s="17" t="str">
        <f t="shared" ca="1" si="20"/>
        <v>Quarter size or wait</v>
      </c>
    </row>
    <row r="23" spans="1:33" x14ac:dyDescent="0.25">
      <c r="A23" s="30" t="s">
        <v>108</v>
      </c>
      <c r="B23" s="31" t="str" cm="1">
        <f t="array" ref="B23">_xldudf_WISEPRICE(A23, "Name")</f>
        <v>Dynatrace, Inc.</v>
      </c>
      <c r="C23" s="23" cm="1">
        <f t="array" ref="C23">_xldudf_WISE(A23, "ROE", $AI$4)</f>
        <v>1.45703343E-2</v>
      </c>
      <c r="D23" s="23" cm="1">
        <f t="array" ref="D23">_xldudf_WISE(A23, "ROIC", $AI$4)</f>
        <v>1.17952506E-2</v>
      </c>
      <c r="E23" s="24" cm="1">
        <f t="array" ref="E23">_xldudf_WISE(A23, "Operating Income", $AI$4)</f>
        <v>72738000</v>
      </c>
      <c r="F23" s="24" cm="1">
        <f t="array" ref="F23">_xldudf_WISE(A23, "Net Income",$AI$4)</f>
        <v>40055000</v>
      </c>
      <c r="G23" s="24" cm="1">
        <f t="array" ref="G23">_xldudf_WISE(A23, "Revenue", $AI$4)</f>
        <v>515473000</v>
      </c>
      <c r="H23" s="23">
        <f t="shared" si="10"/>
        <v>7.7705330832070735E-2</v>
      </c>
      <c r="I23" s="23">
        <f t="shared" si="11"/>
        <v>0.14110923365530301</v>
      </c>
      <c r="J23" s="25" cm="1">
        <f t="array" ref="J23">_xldudf_WISE(A23, "Free Cash Flow", $AI$4)/F23</f>
        <v>0.67991511671451754</v>
      </c>
      <c r="K23" s="23" cm="1">
        <f t="array" ref="K23">_xldudf_WISE(A23, "Revenue Growth", $AI$4)</f>
        <v>4.3799999999999999E-2</v>
      </c>
      <c r="L23" s="23" cm="1">
        <f t="array" ref="L23">_xldudf_WISE(A23, "EPS Growth", $AI$4)</f>
        <v>-0.31580000000000003</v>
      </c>
      <c r="M23" s="23" cm="1">
        <f t="array" ref="M23">(_xldudf_WISE(A23,"Estimated EPS AVG",2027)-_xldudf_WISE(A23,"Estimated EPS AVG",2026))/_xldudf_WISE(A23,"Estimated EPS AVG",2026)</f>
        <v>0.1354928389400086</v>
      </c>
      <c r="N23" s="26" t="str" cm="1">
        <f t="array" ref="N23">IF(_xldudf_WISE(A23,"EPS","LQ-0")&gt;_xldudf_WISE(A23,"EPS","LQ-1"),"Y","N")</f>
        <v>N</v>
      </c>
      <c r="O23" s="25" cm="1">
        <f t="array" ref="O23">_xldudf_WISE(A23, "PE Ratio", $AI$4)</f>
        <v>81.455774435199999</v>
      </c>
      <c r="P23" s="25">
        <f t="shared" si="12"/>
        <v>6.0118139875470256</v>
      </c>
      <c r="Q23" s="25" cm="1">
        <f t="array" ref="Q23">_xldudf_WISE(A23, "Enterprise Value Over EBITDA", $AI$4)</f>
        <v>134.3143155887</v>
      </c>
      <c r="R23" s="25" cm="1">
        <f t="array" ref="R23">_xldudf_WISE(A23, "Net Debt To EBITDA", $AI$4)</f>
        <v>-10.3943916529</v>
      </c>
      <c r="S23" s="25" cm="1">
        <f t="array" ref="S23">_xldudf_WISE(A23, "Current Ratio", $AI$4)</f>
        <v>1.5645819785999999</v>
      </c>
      <c r="T23" s="18" t="str" cm="1">
        <f t="array" ref="T23">_xldudf_WISEPRICE(A23,"Earnings Announcement")</f>
        <v>2026-05-13</v>
      </c>
      <c r="U23" s="19">
        <f t="shared" ca="1" si="13"/>
        <v>8</v>
      </c>
      <c r="V23" s="20">
        <v>40</v>
      </c>
      <c r="W23" s="21">
        <v>9000</v>
      </c>
      <c r="X23" s="22">
        <v>15.4</v>
      </c>
      <c r="Y23" s="15">
        <f t="shared" si="14"/>
        <v>2</v>
      </c>
      <c r="Z23" s="15">
        <f t="shared" si="15"/>
        <v>2.2999999999999998</v>
      </c>
      <c r="AA23" s="15">
        <f t="shared" si="16"/>
        <v>1</v>
      </c>
      <c r="AB23" s="15">
        <f t="shared" si="17"/>
        <v>4.5</v>
      </c>
      <c r="AC23" s="15">
        <f t="shared" ca="1" si="18"/>
        <v>5</v>
      </c>
      <c r="AD23" s="15">
        <f t="shared" si="19"/>
        <v>3.3</v>
      </c>
      <c r="AE23" s="16">
        <f ca="1">IFERROR(ROUND(Y23*Weights!$B$6+Z23*Weights!$B$7+AA23*Weights!$B$8+AB23*Weights!$B$9+AC23*Weights!$B$10+AD23*Weights!$B$11,2),"")</f>
        <v>2.68</v>
      </c>
      <c r="AF23" s="14" t="str">
        <f t="shared" ca="1" si="9"/>
        <v>Pass</v>
      </c>
      <c r="AG23" s="17" t="str">
        <f t="shared" ca="1" si="20"/>
        <v>Skip</v>
      </c>
    </row>
    <row r="24" spans="1:33" x14ac:dyDescent="0.25">
      <c r="A24" s="30" t="s">
        <v>119</v>
      </c>
      <c r="B24" s="31" t="str" cm="1">
        <f t="array" ref="B24">_xldudf_WISEPRICE(A24, "Name")</f>
        <v>TELUS Corporation</v>
      </c>
      <c r="C24" s="23" cm="1">
        <f t="array" ref="C24">_xldudf_WISE(A24, "ROE", $AI$4)</f>
        <v>1.8510301100000001E-2</v>
      </c>
      <c r="D24" s="23" cm="1">
        <f t="array" ref="D24">_xldudf_WISE(A24, "ROIC", $AI$4)</f>
        <v>9.2345737999999997E-3</v>
      </c>
      <c r="E24" s="24" cm="1">
        <f t="array" ref="E24">_xldudf_WISE(A24, "Operating Income", $AI$4)</f>
        <v>694000000</v>
      </c>
      <c r="F24" s="24" cm="1">
        <f t="array" ref="F24">_xldudf_WISE(A24, "Net Income",$AI$4)</f>
        <v>292000000</v>
      </c>
      <c r="G24" s="24" cm="1">
        <f t="array" ref="G24">_xldudf_WISE(A24, "Revenue", $AI$4)</f>
        <v>5230000000</v>
      </c>
      <c r="H24" s="23">
        <f t="shared" si="10"/>
        <v>5.583173996175908E-2</v>
      </c>
      <c r="I24" s="23">
        <f t="shared" si="11"/>
        <v>0.13269598470363289</v>
      </c>
      <c r="J24" s="25" cm="1">
        <f t="array" ref="J24">_xldudf_WISE(A24, "Free Cash Flow", $AI$4)/F24</f>
        <v>1.7157534246575343</v>
      </c>
      <c r="K24" s="23" cm="1">
        <f t="array" ref="K24">_xldudf_WISE(A24, "Revenue Growth", $AI$4)</f>
        <v>3.2199999999999999E-2</v>
      </c>
      <c r="L24" s="23" cm="1">
        <f t="array" ref="L24">_xldudf_WISE(A24, "EPS Growth", $AI$4)</f>
        <v>-0.40629999999999999</v>
      </c>
      <c r="M24" s="23" cm="1">
        <f t="array" ref="M24">(_xldudf_WISE(A24,"Estimated EPS AVG",2027)-_xldudf_WISE(A24,"Estimated EPS AVG",2026))/_xldudf_WISE(A24,"Estimated EPS AVG",2026)</f>
        <v>0.10303316237234994</v>
      </c>
      <c r="N24" s="26" t="str" cm="1">
        <f t="array" ref="N24">IF(_xldudf_WISE(A24,"EPS","LQ-0")&gt;_xldudf_WISE(A24,"EPS","LQ-1"),"Y","N")</f>
        <v>N</v>
      </c>
      <c r="O24" s="25" cm="1">
        <f t="array" ref="O24">_xldudf_WISE(A24, "PE Ratio", $AI$4)</f>
        <v>23.802631574900001</v>
      </c>
      <c r="P24" s="25">
        <f t="shared" si="12"/>
        <v>2.3101913041240101</v>
      </c>
      <c r="Q24" s="25" cm="1">
        <f t="array" ref="Q24">_xldudf_WISE(A24, "Enterprise Value Over EBITDA", $AI$4)</f>
        <v>30.353415690999999</v>
      </c>
      <c r="R24" s="25" cm="1">
        <f t="array" ref="R24">_xldudf_WISE(A24, "Net Debt To EBITDA", $AI$4)</f>
        <v>15.454448017100001</v>
      </c>
      <c r="S24" s="25" cm="1">
        <f t="array" ref="S24">_xldudf_WISE(A24, "Current Ratio", $AI$4)</f>
        <v>0.86407265970000002</v>
      </c>
      <c r="T24" s="18" t="str" cm="1">
        <f t="array" ref="T24">_xldudf_WISEPRICE(A24,"Earnings Announcement")</f>
        <v>2026-05-08</v>
      </c>
      <c r="U24" s="19">
        <f t="shared" ca="1" si="13"/>
        <v>3</v>
      </c>
      <c r="V24" s="20">
        <v>40</v>
      </c>
      <c r="W24" s="21">
        <v>9000</v>
      </c>
      <c r="X24" s="22">
        <v>16.399999999999999</v>
      </c>
      <c r="Y24" s="15">
        <f t="shared" si="14"/>
        <v>2.4</v>
      </c>
      <c r="Z24" s="15">
        <f t="shared" si="15"/>
        <v>2.2999999999999998</v>
      </c>
      <c r="AA24" s="15">
        <f t="shared" si="16"/>
        <v>2</v>
      </c>
      <c r="AB24" s="15">
        <f t="shared" si="17"/>
        <v>1.5</v>
      </c>
      <c r="AC24" s="15">
        <f t="shared" ca="1" si="18"/>
        <v>4.5</v>
      </c>
      <c r="AD24" s="15">
        <f t="shared" si="19"/>
        <v>3.3</v>
      </c>
      <c r="AE24" s="16">
        <f ca="1">IFERROR(ROUND(Y24*Weights!$B$6+Z24*Weights!$B$7+AA24*Weights!$B$8+AB24*Weights!$B$9+AC24*Weights!$B$10+AD24*Weights!$B$11,2),"")</f>
        <v>2.33</v>
      </c>
      <c r="AF24" s="14" t="str">
        <f t="shared" ca="1" si="9"/>
        <v>Pass</v>
      </c>
      <c r="AG24" s="17" t="str">
        <f t="shared" ca="1" si="20"/>
        <v>Skip</v>
      </c>
    </row>
    <row r="25" spans="1:33" x14ac:dyDescent="0.25">
      <c r="A25" s="30" t="s">
        <v>125</v>
      </c>
      <c r="B25" s="31" t="str" cm="1">
        <f t="array" ref="B25">_xldudf_WISEPRICE(A25, "Name")</f>
        <v>Nutanix, Inc.</v>
      </c>
      <c r="C25" s="23" cm="1">
        <f t="array" ref="C25">_xldudf_WISE(A25, "ROE", $AI$4)</f>
        <v>-0.1239307243</v>
      </c>
      <c r="D25" s="23" cm="1">
        <f t="array" ref="D25">_xldudf_WISE(A25, "ROIC", $AI$4)</f>
        <v>4.7421471299999997E-2</v>
      </c>
      <c r="E25" s="24" cm="1">
        <f t="array" ref="E25">_xldudf_WISE(A25, "Operating Income", $AI$4)</f>
        <v>86280000</v>
      </c>
      <c r="F25" s="24" cm="1">
        <f t="array" ref="F25">_xldudf_WISE(A25, "Net Income",$AI$4)</f>
        <v>103022000</v>
      </c>
      <c r="G25" s="24" cm="1">
        <f t="array" ref="G25">_xldudf_WISE(A25, "Revenue", $AI$4)</f>
        <v>722825000</v>
      </c>
      <c r="H25" s="23">
        <f t="shared" si="10"/>
        <v>0.14252689101788124</v>
      </c>
      <c r="I25" s="23">
        <f t="shared" si="11"/>
        <v>0.11936499152630305</v>
      </c>
      <c r="J25" s="25" cm="1">
        <f t="array" ref="J25">_xldudf_WISE(A25, "Free Cash Flow", $AI$4)/F25</f>
        <v>1.8580303236201976</v>
      </c>
      <c r="K25" s="23" cm="1">
        <f t="array" ref="K25">_xldudf_WISE(A25, "Revenue Growth", $AI$4)</f>
        <v>7.7899999999999997E-2</v>
      </c>
      <c r="L25" s="23" cm="1">
        <f t="array" ref="L25">_xldudf_WISE(A25, "EPS Growth", $AI$4)</f>
        <v>0.6522</v>
      </c>
      <c r="M25" s="23" cm="1">
        <f t="array" ref="M25">(_xldudf_WISE(A25,"Estimated EPS AVG",2027)-_xldudf_WISE(A25,"Estimated EPS AVG",2026))/_xldudf_WISE(A25,"Estimated EPS AVG",2026)</f>
        <v>0.18433903798355386</v>
      </c>
      <c r="N25" s="26" t="str" cm="1">
        <f t="array" ref="N25">IF(_xldudf_WISE(A25,"EPS","LQ-0")&gt;_xldudf_WISE(A25,"EPS","LQ-1"),"Y","N")</f>
        <v>Y</v>
      </c>
      <c r="O25" s="25" cm="1">
        <f t="array" ref="O25">_xldudf_WISE(A25, "PE Ratio", $AI$4)</f>
        <v>25.680918663</v>
      </c>
      <c r="P25" s="25">
        <f t="shared" si="12"/>
        <v>1.3931351136426768</v>
      </c>
      <c r="Q25" s="25" cm="1">
        <f t="array" ref="Q25">_xldudf_WISE(A25, "Enterprise Value Over EBITDA", $AI$4)</f>
        <v>99.710850049300007</v>
      </c>
      <c r="R25" s="25" cm="1">
        <f t="array" ref="R25">_xldudf_WISE(A25, "Net Debt To EBITDA", $AI$4)</f>
        <v>8.1308780006999992</v>
      </c>
      <c r="S25" s="25" cm="1">
        <f t="array" ref="S25">_xldudf_WISE(A25, "Current Ratio", $AI$4)</f>
        <v>1.6545050427000001</v>
      </c>
      <c r="T25" s="18" t="str" cm="1">
        <f t="array" ref="T25">_xldudf_WISEPRICE(A25,"Earnings Announcement")</f>
        <v>2026-05-27</v>
      </c>
      <c r="U25" s="19">
        <f t="shared" ca="1" si="13"/>
        <v>22</v>
      </c>
      <c r="V25" s="20">
        <v>40</v>
      </c>
      <c r="W25" s="21">
        <v>9000</v>
      </c>
      <c r="X25" s="22">
        <v>17.399999999999999</v>
      </c>
      <c r="Y25" s="15">
        <f t="shared" si="14"/>
        <v>2.8</v>
      </c>
      <c r="Z25" s="15">
        <f t="shared" si="15"/>
        <v>4.3</v>
      </c>
      <c r="AA25" s="15">
        <f t="shared" si="16"/>
        <v>2.7</v>
      </c>
      <c r="AB25" s="15">
        <f t="shared" si="17"/>
        <v>2.5</v>
      </c>
      <c r="AC25" s="15">
        <f t="shared" ca="1" si="18"/>
        <v>5</v>
      </c>
      <c r="AD25" s="15">
        <f t="shared" si="19"/>
        <v>3.3</v>
      </c>
      <c r="AE25" s="16">
        <f ca="1">IFERROR(ROUND(Y25*Weights!$B$6+Z25*Weights!$B$7+AA25*Weights!$B$8+AB25*Weights!$B$9+AC25*Weights!$B$10+AD25*Weights!$B$11,2),"")</f>
        <v>3.32</v>
      </c>
      <c r="AF25" s="14" t="str">
        <f t="shared" ca="1" si="9"/>
        <v>Hold/Watch</v>
      </c>
      <c r="AG25" s="17" t="str">
        <f t="shared" ca="1" si="20"/>
        <v>Quarter size or wait</v>
      </c>
    </row>
    <row r="26" spans="1:33" x14ac:dyDescent="0.25">
      <c r="A26" s="30" t="s">
        <v>110</v>
      </c>
      <c r="B26" s="31" t="str" cm="1">
        <f t="array" ref="B26">_xldudf_WISEPRICE(A26, "Name")</f>
        <v>Tempus AI, Inc.</v>
      </c>
      <c r="C26" s="23" cm="1">
        <f t="array" ref="C26">_xldudf_WISE(A26, "ROE", $AI$4)</f>
        <v>-0.110244522</v>
      </c>
      <c r="D26" s="23" cm="1">
        <f t="array" ref="D26">_xldudf_WISE(A26, "ROIC", $AI$4)</f>
        <v>-2.2666336200000001E-2</v>
      </c>
      <c r="E26" s="24" cm="1">
        <f t="array" ref="E26">_xldudf_WISE(A26, "Operating Income", $AI$4)</f>
        <v>-48228000</v>
      </c>
      <c r="F26" s="24" cm="1">
        <f t="array" ref="F26">_xldudf_WISE(A26, "Net Income",$AI$4)</f>
        <v>-54166000</v>
      </c>
      <c r="G26" s="24" cm="1">
        <f t="array" ref="G26">_xldudf_WISE(A26, "Revenue", $AI$4)</f>
        <v>367211000</v>
      </c>
      <c r="H26" s="23">
        <f t="shared" si="10"/>
        <v>-0.14750647447925036</v>
      </c>
      <c r="I26" s="23">
        <f t="shared" si="11"/>
        <v>-0.13133593492569667</v>
      </c>
      <c r="J26" s="25" cm="1">
        <f t="array" ref="J26">_xldudf_WISE(A26, "Free Cash Flow", $AI$4)/F26</f>
        <v>3.7494738396780267</v>
      </c>
      <c r="K26" s="23" cm="1">
        <f t="array" ref="K26">_xldudf_WISE(A26, "Revenue Growth", $AI$4)</f>
        <v>9.8799999999999999E-2</v>
      </c>
      <c r="L26" s="23" cm="1">
        <f t="array" ref="L26">_xldudf_WISE(A26, "EPS Growth", $AI$4)</f>
        <v>0.3478</v>
      </c>
      <c r="M26" s="23" cm="1">
        <f t="array" ref="M26">(_xldudf_WISE(A26,"Estimated EPS AVG",2027)-_xldudf_WISE(A26,"Estimated EPS AVG",2026))/_xldudf_WISE(A26,"Estimated EPS AVG",2026)</f>
        <v>-0.82226938510426095</v>
      </c>
      <c r="N26" s="26" t="str" cm="1">
        <f t="array" ref="N26">IF(_xldudf_WISE(A26,"EPS","LQ-0")&gt;_xldudf_WISE(A26,"EPS","LQ-1"),"Y","N")</f>
        <v>Y</v>
      </c>
      <c r="O26" s="25" cm="1">
        <f t="array" ref="O26">_xldudf_WISE(A26, "PE Ratio", $AI$4)</f>
        <v>-47.494227005900001</v>
      </c>
      <c r="P26" s="25">
        <f t="shared" si="12"/>
        <v>0.57759935936174855</v>
      </c>
      <c r="Q26" s="25" cm="1">
        <f t="array" ref="Q26">_xldudf_WISE(A26, "Enterprise Value Over EBITDA", $AI$4)</f>
        <v>-87.376810364199997</v>
      </c>
      <c r="R26" s="25" cm="1">
        <f t="array" ref="R26">_xldudf_WISE(A26, "Net Debt To EBITDA", $AI$4)</f>
        <v>-1.7549736652000001</v>
      </c>
      <c r="S26" s="25" cm="1">
        <f t="array" ref="S26">_xldudf_WISE(A26, "Current Ratio", $AI$4)</f>
        <v>3.1342980976999999</v>
      </c>
      <c r="T26" s="18" t="str" cm="1">
        <f t="array" ref="T26">_xldudf_WISEPRICE(A26,"Earnings Announcement")</f>
        <v>2026-05-05</v>
      </c>
      <c r="U26" s="19">
        <f t="shared" ca="1" si="13"/>
        <v>0</v>
      </c>
      <c r="V26" s="20">
        <v>40</v>
      </c>
      <c r="W26" s="21">
        <v>9000</v>
      </c>
      <c r="X26" s="22">
        <v>18.399999999999999</v>
      </c>
      <c r="Y26" s="15">
        <f t="shared" si="14"/>
        <v>1.8</v>
      </c>
      <c r="Z26" s="15">
        <f t="shared" si="15"/>
        <v>3.5</v>
      </c>
      <c r="AA26" s="15">
        <f t="shared" si="16"/>
        <v>5</v>
      </c>
      <c r="AB26" s="15">
        <f t="shared" si="17"/>
        <v>5</v>
      </c>
      <c r="AC26" s="15">
        <f t="shared" ca="1" si="18"/>
        <v>3.5</v>
      </c>
      <c r="AD26" s="15">
        <f t="shared" si="19"/>
        <v>3.3</v>
      </c>
      <c r="AE26" s="16">
        <f ca="1">IFERROR(ROUND(Y26*Weights!$B$6+Z26*Weights!$B$7+AA26*Weights!$B$8+AB26*Weights!$B$9+AC26*Weights!$B$10+AD26*Weights!$B$11,2),"")</f>
        <v>3.68</v>
      </c>
      <c r="AF26" s="14" t="str">
        <f t="shared" ca="1" si="9"/>
        <v>Buy</v>
      </c>
      <c r="AG26" s="17" t="str">
        <f t="shared" ca="1" si="20"/>
        <v>Half size — ITM call preferred</v>
      </c>
    </row>
    <row r="27" spans="1:33" x14ac:dyDescent="0.25">
      <c r="A27" s="30" t="s">
        <v>105</v>
      </c>
      <c r="B27" s="31" t="str" cm="1">
        <f t="array" ref="B27">_xldudf_WISEPRICE(A27, "Name")</f>
        <v>Ares Capital Corporation</v>
      </c>
      <c r="C27" s="23" cm="1">
        <f t="array" ref="C27">_xldudf_WISE(A27, "ROE", $AI$4)</f>
        <v>6.5410594000000002E-3</v>
      </c>
      <c r="D27" s="23" cm="1">
        <f t="array" ref="D27">_xldudf_WISE(A27, "ROIC", $AI$4)</f>
        <v>1.26005949E-2</v>
      </c>
      <c r="E27" s="24" cm="1">
        <f t="array" ref="E27">_xldudf_WISE(A27, "Operating Income", $AI$4)</f>
        <v>404000000</v>
      </c>
      <c r="F27" s="24" cm="1">
        <f t="array" ref="F27">_xldudf_WISE(A27, "Net Income",$AI$4)</f>
        <v>92000000</v>
      </c>
      <c r="G27" s="24" cm="1">
        <f t="array" ref="G27">_xldudf_WISE(A27, "Revenue", $AI$4)</f>
        <v>763000000</v>
      </c>
      <c r="H27" s="23">
        <f t="shared" si="10"/>
        <v>0.12057667103538663</v>
      </c>
      <c r="I27" s="23">
        <f t="shared" si="11"/>
        <v>0.5294888597640891</v>
      </c>
      <c r="J27" s="25" cm="1">
        <f t="array" ref="J27">_xldudf_WISE(A27, "Free Cash Flow", $AI$4)/F27</f>
        <v>2</v>
      </c>
      <c r="K27" s="23" cm="1">
        <f t="array" ref="K27">_xldudf_WISE(A27, "Revenue Growth", $AI$4)</f>
        <v>0.2016</v>
      </c>
      <c r="L27" s="23" cm="1">
        <f t="array" ref="L27">_xldudf_WISE(A27, "EPS Growth", $AI$4)</f>
        <v>-0.68289999999999995</v>
      </c>
      <c r="M27" s="23" cm="1">
        <f t="array" ref="M27">(_xldudf_WISE(A27,"Estimated EPS AVG",2027)-_xldudf_WISE(A27,"Estimated EPS AVG",2026))/_xldudf_WISE(A27,"Estimated EPS AVG",2026)</f>
        <v>6.6852542541338275E-3</v>
      </c>
      <c r="N27" s="26" t="str" cm="1">
        <f t="array" ref="N27">IF(_xldudf_WISE(A27,"EPS","LQ-0")&gt;_xldudf_WISE(A27,"EPS","LQ-1"),"Y","N")</f>
        <v>N</v>
      </c>
      <c r="O27" s="25" cm="1">
        <f t="array" ref="O27">_xldudf_WISE(A27, "PE Ratio", $AI$4)</f>
        <v>35.158586956500002</v>
      </c>
      <c r="P27" s="25">
        <f t="shared" si="12"/>
        <v>52.591248769274088</v>
      </c>
      <c r="Q27" s="25" cm="1">
        <f t="array" ref="Q27">_xldudf_WISE(A27, "Enterprise Value Over EBITDA", $AI$4)</f>
        <v>39.8329014085</v>
      </c>
      <c r="R27" s="25" cm="1">
        <f t="array" ref="R27">_xldudf_WISE(A27, "Net Debt To EBITDA", $AI$4)</f>
        <v>21.609859154900001</v>
      </c>
      <c r="S27" s="25" cm="1">
        <f t="array" ref="S27">_xldudf_WISE(A27, "Current Ratio", $AI$4)</f>
        <v>0.87068965519999997</v>
      </c>
      <c r="T27" s="18" t="str" cm="1">
        <f t="array" ref="T27">_xldudf_WISEPRICE(A27,"Earnings Announcement")</f>
        <v>2026-07-28</v>
      </c>
      <c r="U27" s="19">
        <f t="shared" ca="1" si="13"/>
        <v>84</v>
      </c>
      <c r="V27" s="20">
        <v>40</v>
      </c>
      <c r="W27" s="21">
        <v>9000</v>
      </c>
      <c r="X27" s="22">
        <v>19.399999999999999</v>
      </c>
      <c r="Y27" s="15">
        <f t="shared" si="14"/>
        <v>3.2</v>
      </c>
      <c r="Z27" s="15">
        <f t="shared" si="15"/>
        <v>2.5</v>
      </c>
      <c r="AA27" s="15">
        <f t="shared" si="16"/>
        <v>1.3</v>
      </c>
      <c r="AB27" s="15">
        <f t="shared" si="17"/>
        <v>1.5</v>
      </c>
      <c r="AC27" s="15">
        <f t="shared" ca="1" si="18"/>
        <v>5</v>
      </c>
      <c r="AD27" s="15">
        <f t="shared" si="19"/>
        <v>3.3</v>
      </c>
      <c r="AE27" s="16">
        <f ca="1">IFERROR(ROUND(Y27*Weights!$B$6+Z27*Weights!$B$7+AA27*Weights!$B$8+AB27*Weights!$B$9+AC27*Weights!$B$10+AD27*Weights!$B$11,2),"")</f>
        <v>2.4900000000000002</v>
      </c>
      <c r="AF27" s="14" t="str">
        <f t="shared" ca="1" si="9"/>
        <v>Pass</v>
      </c>
      <c r="AG27" s="17" t="str">
        <f t="shared" ca="1" si="20"/>
        <v>Skip</v>
      </c>
    </row>
    <row r="28" spans="1:33" x14ac:dyDescent="0.25">
      <c r="A28" s="30" t="s">
        <v>111</v>
      </c>
      <c r="B28" s="31" t="str" cm="1">
        <f t="array" ref="B28">_xldudf_WISEPRICE(A28, "Name")</f>
        <v>KKR &amp; Co. Inc.</v>
      </c>
      <c r="C28" s="23" cm="1">
        <f t="array" ref="C28">_xldudf_WISE(A28, "ROE", $AI$4)</f>
        <v>3.7081295600000001E-2</v>
      </c>
      <c r="D28" s="23" cm="1">
        <f t="array" ref="D28">_xldudf_WISE(A28, "ROIC", $AI$4)</f>
        <v>4.6989029000000003E-3</v>
      </c>
      <c r="E28" s="24" cm="1">
        <f t="array" ref="E28">_xldudf_WISE(A28, "Operating Income", $AI$4)</f>
        <v>2210480000</v>
      </c>
      <c r="F28" s="24" cm="1">
        <f t="array" ref="F28">_xldudf_WISE(A28, "Net Income",$AI$4)</f>
        <v>1145907000</v>
      </c>
      <c r="G28" s="24" cm="1">
        <f t="array" ref="G28">_xldudf_WISE(A28, "Revenue", $AI$4)</f>
        <v>5520685000</v>
      </c>
      <c r="H28" s="23">
        <f t="shared" si="10"/>
        <v>0.20756609007759</v>
      </c>
      <c r="I28" s="23">
        <f t="shared" si="11"/>
        <v>0.40039958809459336</v>
      </c>
      <c r="J28" s="25" cm="1">
        <f t="array" ref="J28">_xldudf_WISE(A28, "Free Cash Flow", $AI$4)/F28</f>
        <v>1.9795166623469445</v>
      </c>
      <c r="K28" s="23" cm="1">
        <f t="array" ref="K28">_xldudf_WISE(A28, "Revenue Growth", $AI$4)</f>
        <v>1.0200000000000001E-2</v>
      </c>
      <c r="L28" s="23" cm="1">
        <f t="array" ref="L28">_xldudf_WISE(A28, "EPS Growth", $AI$4)</f>
        <v>0.27839999999999998</v>
      </c>
      <c r="M28" s="23" cm="1">
        <f t="array" ref="M28">(_xldudf_WISE(A28,"Estimated EPS AVG",2027)-_xldudf_WISE(A28,"Estimated EPS AVG",2026))/_xldudf_WISE(A28,"Estimated EPS AVG",2026)</f>
        <v>0.23973735217465333</v>
      </c>
      <c r="N28" s="26" t="str" cm="1">
        <f t="array" ref="N28">IF(_xldudf_WISE(A28,"EPS","LQ-0")&gt;_xldudf_WISE(A28,"EPS","LQ-1"),"Y","N")</f>
        <v>Y</v>
      </c>
      <c r="O28" s="25" cm="1">
        <f t="array" ref="O28">_xldudf_WISE(A28, "PE Ratio", $AI$4)</f>
        <v>24.7917064773</v>
      </c>
      <c r="P28" s="25">
        <f t="shared" si="12"/>
        <v>1.0341194750177587</v>
      </c>
      <c r="Q28" s="25" cm="1">
        <f t="array" ref="Q28">_xldudf_WISE(A28, "Enterprise Value Over EBITDA", $AI$4)</f>
        <v>49.091732195100001</v>
      </c>
      <c r="R28" s="25" cm="1">
        <f t="array" ref="R28">_xldudf_WISE(A28, "Net Debt To EBITDA", $AI$4)</f>
        <v>15.9638781607</v>
      </c>
      <c r="S28" s="25" cm="1">
        <f t="array" ref="S28">_xldudf_WISE(A28, "Current Ratio", $AI$4)</f>
        <v>79.854568502600003</v>
      </c>
      <c r="T28" s="18" t="str" cm="1">
        <f t="array" ref="T28">_xldudf_WISEPRICE(A28,"Earnings Announcement")</f>
        <v>2026-05-05</v>
      </c>
      <c r="U28" s="19">
        <f t="shared" ca="1" si="13"/>
        <v>0</v>
      </c>
      <c r="V28" s="20">
        <v>40</v>
      </c>
      <c r="W28" s="21">
        <v>9000</v>
      </c>
      <c r="X28" s="22">
        <v>20.399999999999999</v>
      </c>
      <c r="Y28" s="15">
        <f t="shared" si="14"/>
        <v>3.4</v>
      </c>
      <c r="Z28" s="15">
        <f t="shared" si="15"/>
        <v>4.3</v>
      </c>
      <c r="AA28" s="15">
        <f t="shared" si="16"/>
        <v>2.7</v>
      </c>
      <c r="AB28" s="15">
        <f t="shared" si="17"/>
        <v>3</v>
      </c>
      <c r="AC28" s="15">
        <f t="shared" ca="1" si="18"/>
        <v>3.5</v>
      </c>
      <c r="AD28" s="15">
        <f t="shared" si="19"/>
        <v>3.3</v>
      </c>
      <c r="AE28" s="16">
        <f ca="1">IFERROR(ROUND(Y28*Weights!$B$6+Z28*Weights!$B$7+AA28*Weights!$B$8+AB28*Weights!$B$9+AC28*Weights!$B$10+AD28*Weights!$B$11,2),"")</f>
        <v>3.42</v>
      </c>
      <c r="AF28" s="14" t="str">
        <f t="shared" ca="1" si="9"/>
        <v>Hold/Watch</v>
      </c>
      <c r="AG28" s="17" t="str">
        <f t="shared" ca="1" si="20"/>
        <v>Quarter size or wait</v>
      </c>
    </row>
    <row r="29" spans="1:33" x14ac:dyDescent="0.25">
      <c r="A29" s="30" t="s">
        <v>114</v>
      </c>
      <c r="B29" s="31" t="str" cm="1">
        <f t="array" ref="B29">_xldudf_WISEPRICE(A29, "Name")</f>
        <v>Tenable Holdings, Inc.</v>
      </c>
      <c r="C29" s="23" cm="1">
        <f t="array" ref="C29">_xldudf_WISE(A29, "ROE", $AI$4)</f>
        <v>5.6965595000000001E-3</v>
      </c>
      <c r="D29" s="23" cm="1">
        <f t="array" ref="D29">_xldudf_WISE(A29, "ROIC", $AI$4)</f>
        <v>3.599751E-3</v>
      </c>
      <c r="E29" s="24" cm="1">
        <f t="array" ref="E29">_xldudf_WISE(A29, "Operating Income", $AI$4)</f>
        <v>11214000</v>
      </c>
      <c r="F29" s="24" cm="1">
        <f t="array" ref="F29">_xldudf_WISE(A29, "Net Income",$AI$4)</f>
        <v>1414000</v>
      </c>
      <c r="G29" s="24" cm="1">
        <f t="array" ref="G29">_xldudf_WISE(A29, "Revenue", $AI$4)</f>
        <v>262058000</v>
      </c>
      <c r="H29" s="23">
        <f t="shared" si="10"/>
        <v>5.3957520854162055E-3</v>
      </c>
      <c r="I29" s="23">
        <f t="shared" si="11"/>
        <v>4.2792053667508718E-2</v>
      </c>
      <c r="J29" s="25" cm="1">
        <f t="array" ref="J29">_xldudf_WISE(A29, "Free Cash Flow", $AI$4)/F29</f>
        <v>60.384724186704382</v>
      </c>
      <c r="K29" s="23" cm="1">
        <f t="array" ref="K29">_xldudf_WISE(A29, "Revenue Growth", $AI$4)</f>
        <v>5.8999999999999999E-3</v>
      </c>
      <c r="L29" s="23" cm="1">
        <f t="array" ref="L29">_xldudf_WISE(A29, "EPS Growth", $AI$4)</f>
        <v>2.9676999999999998</v>
      </c>
      <c r="M29" s="23" cm="1">
        <f t="array" ref="M29">(_xldudf_WISE(A29,"Estimated EPS AVG",2027)-_xldudf_WISE(A29,"Estimated EPS AVG",2026))/_xldudf_WISE(A29,"Estimated EPS AVG",2026)</f>
        <v>0.10536050991965883</v>
      </c>
      <c r="N29" s="26" t="str" cm="1">
        <f t="array" ref="N29">IF(_xldudf_WISE(A29,"EPS","LQ-0")&gt;_xldudf_WISE(A29,"EPS","LQ-1"),"Y","N")</f>
        <v>Y</v>
      </c>
      <c r="O29" s="25" cm="1">
        <f t="array" ref="O29">_xldudf_WISE(A29, "PE Ratio", $AI$4)</f>
        <v>346.70743281469998</v>
      </c>
      <c r="P29" s="25">
        <f t="shared" si="12"/>
        <v>32.9067724785194</v>
      </c>
      <c r="Q29" s="25" cm="1">
        <f t="array" ref="Q29">_xldudf_WISE(A29, "Enterprise Value Over EBITDA", $AI$4)</f>
        <v>104.5195522806</v>
      </c>
      <c r="R29" s="25" cm="1">
        <f t="array" ref="R29">_xldudf_WISE(A29, "Net Debt To EBITDA", $AI$4)</f>
        <v>13.064592855100001</v>
      </c>
      <c r="S29" s="25" cm="1">
        <f t="array" ref="S29">_xldudf_WISE(A29, "Current Ratio", $AI$4)</f>
        <v>0.78152813450000003</v>
      </c>
      <c r="T29" s="18" t="str" cm="1">
        <f t="array" ref="T29">_xldudf_WISEPRICE(A29,"Earnings Announcement")</f>
        <v>2026-07-29</v>
      </c>
      <c r="U29" s="19">
        <f t="shared" ca="1" si="13"/>
        <v>85</v>
      </c>
      <c r="V29" s="20">
        <v>40</v>
      </c>
      <c r="W29" s="21">
        <v>9000</v>
      </c>
      <c r="X29" s="22">
        <v>21.4</v>
      </c>
      <c r="Y29" s="15">
        <f t="shared" si="14"/>
        <v>2</v>
      </c>
      <c r="Z29" s="15">
        <f t="shared" si="15"/>
        <v>4</v>
      </c>
      <c r="AA29" s="15">
        <f t="shared" si="16"/>
        <v>1</v>
      </c>
      <c r="AB29" s="15">
        <f t="shared" si="17"/>
        <v>1</v>
      </c>
      <c r="AC29" s="15">
        <f t="shared" ca="1" si="18"/>
        <v>5</v>
      </c>
      <c r="AD29" s="15">
        <f t="shared" si="19"/>
        <v>3.3</v>
      </c>
      <c r="AE29" s="16">
        <f ca="1">IFERROR(ROUND(Y29*Weights!$B$6+Z29*Weights!$B$7+AA29*Weights!$B$8+AB29*Weights!$B$9+AC29*Weights!$B$10+AD29*Weights!$B$11,2),"")</f>
        <v>2.4</v>
      </c>
      <c r="AF29" s="14" t="str">
        <f t="shared" ca="1" si="9"/>
        <v>Pass</v>
      </c>
      <c r="AG29" s="17" t="str">
        <f t="shared" ca="1" si="20"/>
        <v>Skip</v>
      </c>
    </row>
    <row r="30" spans="1:33" x14ac:dyDescent="0.25">
      <c r="A30" s="30" t="s">
        <v>113</v>
      </c>
      <c r="B30" s="31" t="str" cm="1">
        <f t="array" ref="B30">_xldudf_WISEPRICE(A30, "Name")</f>
        <v>Samsara Inc.</v>
      </c>
      <c r="C30" s="23" cm="1">
        <f t="array" ref="C30">_xldudf_WISE(A30, "ROE", $AI$4)</f>
        <v>1.55148344E-2</v>
      </c>
      <c r="D30" s="23" cm="1">
        <f t="array" ref="D30">_xldudf_WISE(A30, "ROIC", $AI$4)</f>
        <v>4.4115661E-3</v>
      </c>
      <c r="E30" s="24" cm="1">
        <f t="array" ref="E30">_xldudf_WISE(A30, "Operating Income", $AI$4)</f>
        <v>9019000</v>
      </c>
      <c r="F30" s="24" cm="1">
        <f t="array" ref="F30">_xldudf_WISE(A30, "Net Income",$AI$4)</f>
        <v>22038000</v>
      </c>
      <c r="G30" s="24" cm="1">
        <f t="array" ref="G30">_xldudf_WISE(A30, "Revenue", $AI$4)</f>
        <v>444296000</v>
      </c>
      <c r="H30" s="23">
        <f t="shared" si="10"/>
        <v>4.9602067090408195E-2</v>
      </c>
      <c r="I30" s="23">
        <f t="shared" si="11"/>
        <v>2.0299530043034374E-2</v>
      </c>
      <c r="J30" s="25" cm="1">
        <f t="array" ref="J30">_xldudf_WISE(A30, "Free Cash Flow", $AI$4)/F30</f>
        <v>2.8003902350485523</v>
      </c>
      <c r="K30" s="23" cm="1">
        <f t="array" ref="K30">_xldudf_WISE(A30, "Revenue Growth", $AI$4)</f>
        <v>6.8099999999999994E-2</v>
      </c>
      <c r="L30" s="23" cm="1">
        <f t="array" ref="L30">_xldudf_WISE(A30, "EPS Growth", $AI$4)</f>
        <v>1.8222</v>
      </c>
      <c r="M30" s="23" cm="1">
        <f t="array" ref="M30">(_xldudf_WISE(A30,"Estimated EPS AVG",2027)-_xldudf_WISE(A30,"Estimated EPS AVG",2026))/_xldudf_WISE(A30,"Estimated EPS AVG",2026)</f>
        <v>0.33850368560053595</v>
      </c>
      <c r="N30" s="26" t="str" cm="1">
        <f t="array" ref="N30">IF(_xldudf_WISE(A30,"EPS","LQ-0")&gt;_xldudf_WISE(A30,"EPS","LQ-1"),"Y","N")</f>
        <v>Y</v>
      </c>
      <c r="O30" s="25" cm="1">
        <f t="array" ref="O30">_xldudf_WISE(A30, "PE Ratio", $AI$4)</f>
        <v>184.2313302103</v>
      </c>
      <c r="P30" s="25">
        <f t="shared" si="12"/>
        <v>5.442520659219916</v>
      </c>
      <c r="Q30" s="25" cm="1">
        <f t="array" ref="Q30">_xldudf_WISE(A30, "Enterprise Value Over EBITDA", $AI$4)</f>
        <v>972.24115377179999</v>
      </c>
      <c r="R30" s="25" cm="1">
        <f t="array" ref="R30">_xldudf_WISE(A30, "Net Debt To EBITDA", $AI$4)</f>
        <v>-14.9547747857</v>
      </c>
      <c r="S30" s="25" cm="1">
        <f t="array" ref="S30">_xldudf_WISE(A30, "Current Ratio", $AI$4)</f>
        <v>1.6434629754000001</v>
      </c>
      <c r="T30" s="18" t="str" cm="1">
        <f t="array" ref="T30">_xldudf_WISEPRICE(A30,"Earnings Announcement")</f>
        <v>2026-06-04</v>
      </c>
      <c r="U30" s="19">
        <f t="shared" ca="1" si="13"/>
        <v>30</v>
      </c>
      <c r="V30" s="20">
        <v>40</v>
      </c>
      <c r="W30" s="21">
        <v>9000</v>
      </c>
      <c r="X30" s="22">
        <v>22.4</v>
      </c>
      <c r="Y30" s="15">
        <f t="shared" si="14"/>
        <v>2</v>
      </c>
      <c r="Z30" s="15">
        <f t="shared" si="15"/>
        <v>4.5</v>
      </c>
      <c r="AA30" s="15">
        <f t="shared" si="16"/>
        <v>1</v>
      </c>
      <c r="AB30" s="15">
        <f t="shared" si="17"/>
        <v>4.5</v>
      </c>
      <c r="AC30" s="15">
        <f t="shared" ca="1" si="18"/>
        <v>5</v>
      </c>
      <c r="AD30" s="15">
        <f t="shared" si="19"/>
        <v>3.3</v>
      </c>
      <c r="AE30" s="16">
        <f ca="1">IFERROR(ROUND(Y30*Weights!$B$6+Z30*Weights!$B$7+AA30*Weights!$B$8+AB30*Weights!$B$9+AC30*Weights!$B$10+AD30*Weights!$B$11,2),"")</f>
        <v>3.23</v>
      </c>
      <c r="AF30" s="14" t="str">
        <f t="shared" ca="1" si="9"/>
        <v>Hold/Watch</v>
      </c>
      <c r="AG30" s="17" t="str">
        <f t="shared" ca="1" si="20"/>
        <v>Quarter size or wait</v>
      </c>
    </row>
    <row r="31" spans="1:33" x14ac:dyDescent="0.25">
      <c r="A31" s="30" t="s">
        <v>163</v>
      </c>
      <c r="B31" s="31" t="str" cm="1">
        <f t="array" ref="B31">_xldudf_WISEPRICE(A31, "Name")</f>
        <v>Global Payments Inc.</v>
      </c>
      <c r="C31" s="23" cm="1">
        <f t="array" ref="C31">_xldudf_WISE(A31, "ROE", $AI$4)</f>
        <v>9.5035263000000005E-3</v>
      </c>
      <c r="D31" s="23" cm="1">
        <f t="array" ref="D31">_xldudf_WISE(A31, "ROIC", $AI$4)</f>
        <v>5.1405434000000002E-3</v>
      </c>
      <c r="E31" s="24" cm="1">
        <f t="array" ref="E31">_xldudf_WISE(A31, "Operating Income", $AI$4)</f>
        <v>247504000</v>
      </c>
      <c r="F31" s="24" cm="1">
        <f t="array" ref="F31">_xldudf_WISE(A31, "Net Income",$AI$4)</f>
        <v>217524000</v>
      </c>
      <c r="G31" s="24" cm="1">
        <f t="array" ref="G31">_xldudf_WISE(A31, "Revenue", $AI$4)</f>
        <v>1896765000</v>
      </c>
      <c r="H31" s="23">
        <f t="shared" si="10"/>
        <v>0.11468157626274209</v>
      </c>
      <c r="I31" s="23">
        <f t="shared" si="11"/>
        <v>0.13048743518569775</v>
      </c>
      <c r="J31" s="25" cm="1">
        <f t="array" ref="J31">_xldudf_WISE(A31, "Free Cash Flow", $AI$4)/F31</f>
        <v>1.5952216766885494</v>
      </c>
      <c r="K31" s="23" cm="1">
        <f t="array" ref="K31">_xldudf_WISE(A31, "Revenue Growth", $AI$4)</f>
        <v>-5.5199999999999999E-2</v>
      </c>
      <c r="L31" s="23" cm="1">
        <f t="array" ref="L31">_xldudf_WISE(A31, "EPS Growth", $AI$4)</f>
        <v>-0.65659999999999996</v>
      </c>
      <c r="M31" s="23" cm="1">
        <f t="array" ref="M31">(_xldudf_WISE(A31,"Estimated EPS AVG",2027)-_xldudf_WISE(A31,"Estimated EPS AVG",2026))/_xldudf_WISE(A31,"Estimated EPS AVG",2026)</f>
        <v>0.17418683369666935</v>
      </c>
      <c r="N31" s="26" t="str" cm="1">
        <f t="array" ref="N31">IF(_xldudf_WISE(A31,"EPS","LQ-0")&gt;_xldudf_WISE(A31,"EPS","LQ-1"),"Y","N")</f>
        <v>N</v>
      </c>
      <c r="O31" s="25" cm="1">
        <f t="array" ref="O31">_xldudf_WISE(A31, "PE Ratio", $AI$4)</f>
        <v>21.330598692599999</v>
      </c>
      <c r="P31" s="25">
        <f t="shared" si="12"/>
        <v>1.2245815736994974</v>
      </c>
      <c r="Q31" s="25" cm="1">
        <f t="array" ref="Q31">_xldudf_WISE(A31, "Enterprise Value Over EBITDA", $AI$4)</f>
        <v>94.081401414599995</v>
      </c>
      <c r="R31" s="25" cm="1">
        <f t="array" ref="R31">_xldudf_WISE(A31, "Net Debt To EBITDA", $AI$4)</f>
        <v>39.567253918299997</v>
      </c>
      <c r="S31" s="25" cm="1">
        <f t="array" ref="S31">_xldudf_WISE(A31, "Current Ratio", $AI$4)</f>
        <v>1.6900810852000001</v>
      </c>
      <c r="T31" s="18" t="str" cm="1">
        <f t="array" ref="T31">_xldudf_WISEPRICE(A31,"Earnings Announcement")</f>
        <v>2026-05-06</v>
      </c>
      <c r="U31" s="19">
        <f t="shared" ca="1" si="13"/>
        <v>1</v>
      </c>
      <c r="V31" s="20">
        <v>40</v>
      </c>
      <c r="W31" s="21">
        <v>9000</v>
      </c>
      <c r="X31" s="22">
        <v>23.4</v>
      </c>
      <c r="Y31" s="15">
        <f t="shared" si="14"/>
        <v>2.6</v>
      </c>
      <c r="Z31" s="15">
        <f t="shared" si="15"/>
        <v>2</v>
      </c>
      <c r="AA31" s="15">
        <f t="shared" si="16"/>
        <v>2.7</v>
      </c>
      <c r="AB31" s="15">
        <f t="shared" si="17"/>
        <v>2.5</v>
      </c>
      <c r="AC31" s="15">
        <f t="shared" ca="1" si="18"/>
        <v>4</v>
      </c>
      <c r="AD31" s="15">
        <f t="shared" si="19"/>
        <v>3.3</v>
      </c>
      <c r="AE31" s="16">
        <f ca="1">IFERROR(ROUND(Y31*Weights!$B$6+Z31*Weights!$B$7+AA31*Weights!$B$8+AB31*Weights!$B$9+AC31*Weights!$B$10+AD31*Weights!$B$11,2),"")</f>
        <v>2.59</v>
      </c>
      <c r="AF31" s="14" t="str">
        <f t="shared" ca="1" si="9"/>
        <v>Pass</v>
      </c>
      <c r="AG31" s="17" t="str">
        <f t="shared" ca="1" si="20"/>
        <v>Skip</v>
      </c>
    </row>
    <row r="32" spans="1:33" x14ac:dyDescent="0.25">
      <c r="A32" s="30" t="s">
        <v>104</v>
      </c>
      <c r="B32" s="31" t="str" cm="1">
        <f t="array" ref="B32">_xldudf_WISEPRICE(A32, "Name")</f>
        <v>Workday, Inc.</v>
      </c>
      <c r="C32" s="23" cm="1">
        <f t="array" ref="C32">_xldudf_WISE(A32, "ROE", $AI$4)</f>
        <v>1.85778347E-2</v>
      </c>
      <c r="D32" s="23" cm="1">
        <f t="array" ref="D32">_xldudf_WISE(A32, "ROIC", $AI$4)</f>
        <v>1.4118865E-2</v>
      </c>
      <c r="E32" s="24" cm="1">
        <f t="array" ref="E32">_xldudf_WISE(A32, "Operating Income", $AI$4)</f>
        <v>304000000</v>
      </c>
      <c r="F32" s="24" cm="1">
        <f t="array" ref="F32">_xldudf_WISE(A32, "Net Income",$AI$4)</f>
        <v>145000000</v>
      </c>
      <c r="G32" s="24" cm="1">
        <f t="array" ref="G32">_xldudf_WISE(A32, "Revenue", $AI$4)</f>
        <v>2532000000</v>
      </c>
      <c r="H32" s="23">
        <f t="shared" si="10"/>
        <v>5.7266982622432856E-2</v>
      </c>
      <c r="I32" s="23">
        <f t="shared" si="11"/>
        <v>0.12006319115323855</v>
      </c>
      <c r="J32" s="25" cm="1">
        <f t="array" ref="J32">_xldudf_WISE(A32, "Free Cash Flow", $AI$4)/F32</f>
        <v>8.4</v>
      </c>
      <c r="K32" s="23" cm="1">
        <f t="array" ref="K32">_xldudf_WISE(A32, "Revenue Growth", $AI$4)</f>
        <v>4.1099999999999998E-2</v>
      </c>
      <c r="L32" s="23" cm="1">
        <f t="array" ref="L32">_xldudf_WISE(A32, "EPS Growth", $AI$4)</f>
        <v>-0.42109999999999997</v>
      </c>
      <c r="M32" s="23" cm="1">
        <f t="array" ref="M32">(_xldudf_WISE(A32,"Estimated EPS AVG",2027)-_xldudf_WISE(A32,"Estimated EPS AVG",2026))/_xldudf_WISE(A32,"Estimated EPS AVG",2026)</f>
        <v>0.15472691365200569</v>
      </c>
      <c r="N32" s="26" t="str" cm="1">
        <f t="array" ref="N32">IF(_xldudf_WISE(A32,"EPS","LQ-0")&gt;_xldudf_WISE(A32,"EPS","LQ-1"),"Y","N")</f>
        <v>N</v>
      </c>
      <c r="O32" s="25" cm="1">
        <f t="array" ref="O32">_xldudf_WISE(A32, "PE Ratio", $AI$4)</f>
        <v>79.116167224099996</v>
      </c>
      <c r="P32" s="25">
        <f t="shared" si="12"/>
        <v>5.1132776681656784</v>
      </c>
      <c r="Q32" s="25" cm="1">
        <f t="array" ref="Q32">_xldudf_WISE(A32, "Enterprise Value Over EBITDA", $AI$4)</f>
        <v>133.53844041549999</v>
      </c>
      <c r="R32" s="25" cm="1">
        <f t="array" ref="R32">_xldudf_WISE(A32, "Net Debt To EBITDA", $AI$4)</f>
        <v>6.4265927977999997</v>
      </c>
      <c r="S32" s="25" cm="1">
        <f t="array" ref="S32">_xldudf_WISE(A32, "Current Ratio", $AI$4)</f>
        <v>1.3215741612</v>
      </c>
      <c r="T32" s="18" t="str" cm="1">
        <f t="array" ref="T32">_xldudf_WISEPRICE(A32,"Earnings Announcement")</f>
        <v>2026-05-21</v>
      </c>
      <c r="U32" s="19">
        <f t="shared" ca="1" si="13"/>
        <v>16</v>
      </c>
      <c r="V32" s="20">
        <v>40</v>
      </c>
      <c r="W32" s="21">
        <v>9000</v>
      </c>
      <c r="X32" s="22">
        <v>24.4</v>
      </c>
      <c r="Y32" s="15">
        <f t="shared" si="14"/>
        <v>2.4</v>
      </c>
      <c r="Z32" s="15">
        <f t="shared" si="15"/>
        <v>2.2999999999999998</v>
      </c>
      <c r="AA32" s="15">
        <f t="shared" si="16"/>
        <v>1</v>
      </c>
      <c r="AB32" s="15">
        <f t="shared" si="17"/>
        <v>2</v>
      </c>
      <c r="AC32" s="15">
        <f t="shared" ca="1" si="18"/>
        <v>5</v>
      </c>
      <c r="AD32" s="15">
        <f t="shared" si="19"/>
        <v>3.3</v>
      </c>
      <c r="AE32" s="16">
        <f ca="1">IFERROR(ROUND(Y32*Weights!$B$6+Z32*Weights!$B$7+AA32*Weights!$B$8+AB32*Weights!$B$9+AC32*Weights!$B$10+AD32*Weights!$B$11,2),"")</f>
        <v>2.2799999999999998</v>
      </c>
      <c r="AF32" s="14" t="str">
        <f t="shared" ca="1" si="9"/>
        <v>Pass</v>
      </c>
      <c r="AG32" s="17" t="str">
        <f t="shared" ca="1" si="20"/>
        <v>Skip</v>
      </c>
    </row>
    <row r="33" spans="1:33" x14ac:dyDescent="0.25">
      <c r="A33" s="30" t="s">
        <v>164</v>
      </c>
      <c r="B33" s="31" t="str" cm="1">
        <f t="array" ref="B33">_xldudf_WISEPRICE(A33, "Name")</f>
        <v>Unilever PLC</v>
      </c>
      <c r="C33" s="23" cm="1">
        <f t="array" ref="C33">_xldudf_WISE(A33, "ROE", $AI$4)</f>
        <v>0.16595912879999999</v>
      </c>
      <c r="D33" s="23" cm="1">
        <f t="array" ref="D33">_xldudf_WISE(A33, "ROIC", $AI$4)</f>
        <v>0.1126682208</v>
      </c>
      <c r="E33" s="24" cm="1">
        <f t="array" ref="E33">_xldudf_WISE(A33, "Operating Income", $AI$4)</f>
        <v>7245411000</v>
      </c>
      <c r="F33" s="24" cm="1">
        <f t="array" ref="F33">_xldudf_WISE(A33, "Net Income",$AI$4)</f>
        <v>2580497000</v>
      </c>
      <c r="G33" s="24" cm="1">
        <f t="array" ref="G33">_xldudf_WISE(A33, "Revenue", $AI$4)</f>
        <v>20348374000</v>
      </c>
      <c r="H33" s="23">
        <f t="shared" si="10"/>
        <v>0.12681588219284745</v>
      </c>
      <c r="I33" s="23">
        <f t="shared" si="11"/>
        <v>0.35606830304966874</v>
      </c>
      <c r="J33" s="25" cm="1">
        <f t="array" ref="J33">_xldudf_WISE(A33, "Free Cash Flow", $AI$4)/F33</f>
        <v>2.1226189555732868</v>
      </c>
      <c r="K33" s="23" cm="1">
        <f t="array" ref="K33">_xldudf_WISE(A33, "Revenue Growth", $AI$4)</f>
        <v>0.3508</v>
      </c>
      <c r="L33" s="23" cm="1">
        <f t="array" ref="L33">_xldudf_WISE(A33, "EPS Growth", $AI$4)</f>
        <v>0.66200000000000003</v>
      </c>
      <c r="M33" s="23" cm="1">
        <f t="array" ref="M33">(_xldudf_WISE(A33,"Estimated EPS AVG",2027)-_xldudf_WISE(A33,"Estimated EPS AVG",2026))/_xldudf_WISE(A33,"Estimated EPS AVG",2026)</f>
        <v>5.3974308456143094E-2</v>
      </c>
      <c r="N33" s="26" t="str" cm="1">
        <f t="array" ref="N33">IF(_xldudf_WISE(A33,"EPS","LQ-0")&gt;_xldudf_WISE(A33,"EPS","LQ-1"),"Y","N")</f>
        <v>Y</v>
      </c>
      <c r="O33" s="25" cm="1">
        <f t="array" ref="O33">_xldudf_WISE(A33, "PE Ratio", $AI$4)</f>
        <v>11.7900469228</v>
      </c>
      <c r="P33" s="25">
        <f t="shared" si="12"/>
        <v>2.1843812843623596</v>
      </c>
      <c r="Q33" s="25" cm="1">
        <f t="array" ref="Q33">_xldudf_WISE(A33, "Enterprise Value Over EBITDA", $AI$4)</f>
        <v>31.604116300000001</v>
      </c>
      <c r="R33" s="25" cm="1">
        <f t="array" ref="R33">_xldudf_WISE(A33, "Net Debt To EBITDA", $AI$4)</f>
        <v>5.5094794483999996</v>
      </c>
      <c r="S33" s="25" cm="1">
        <f t="array" ref="S33">_xldudf_WISE(A33, "Current Ratio", $AI$4)</f>
        <v>0.78783124140000005</v>
      </c>
      <c r="T33" s="18" t="str" cm="1">
        <f t="array" ref="T33">_xldudf_WISEPRICE(A33,"Earnings Announcement")</f>
        <v>2026-07-28</v>
      </c>
      <c r="U33" s="19">
        <f t="shared" ca="1" si="13"/>
        <v>84</v>
      </c>
      <c r="V33" s="20">
        <v>40</v>
      </c>
      <c r="W33" s="21">
        <v>9000</v>
      </c>
      <c r="X33" s="22">
        <v>25.4</v>
      </c>
      <c r="Y33" s="15">
        <f t="shared" si="14"/>
        <v>4.2</v>
      </c>
      <c r="Z33" s="15">
        <f t="shared" si="15"/>
        <v>4.5</v>
      </c>
      <c r="AA33" s="15">
        <f t="shared" si="16"/>
        <v>2.7</v>
      </c>
      <c r="AB33" s="15">
        <f t="shared" si="17"/>
        <v>1</v>
      </c>
      <c r="AC33" s="15">
        <f t="shared" ca="1" si="18"/>
        <v>5</v>
      </c>
      <c r="AD33" s="15">
        <f t="shared" si="19"/>
        <v>3.3</v>
      </c>
      <c r="AE33" s="16">
        <f ca="1">IFERROR(ROUND(Y33*Weights!$B$6+Z33*Weights!$B$7+AA33*Weights!$B$8+AB33*Weights!$B$9+AC33*Weights!$B$10+AD33*Weights!$B$11,2),"")</f>
        <v>3.42</v>
      </c>
      <c r="AF33" s="14" t="str">
        <f t="shared" ca="1" si="9"/>
        <v>Hold/Watch</v>
      </c>
      <c r="AG33" s="17" t="str">
        <f t="shared" ca="1" si="20"/>
        <v>Quarter size or wait</v>
      </c>
    </row>
    <row r="34" spans="1:33" x14ac:dyDescent="0.25">
      <c r="A34" s="30" t="s">
        <v>116</v>
      </c>
      <c r="B34" s="31" t="str" cm="1">
        <f t="array" ref="B34">_xldudf_WISEPRICE(A34, "Name")</f>
        <v>Cellebrite DI Ltd.</v>
      </c>
      <c r="C34" s="23" cm="1">
        <f t="array" ref="C34">_xldudf_WISE(A34, "ROE", $AI$4)</f>
        <v>4.3898843299999997E-2</v>
      </c>
      <c r="D34" s="23" cm="1">
        <f t="array" ref="D34">_xldudf_WISE(A34, "ROIC", $AI$4)</f>
        <v>2.9374835299999999E-2</v>
      </c>
      <c r="E34" s="24" cm="1">
        <f t="array" ref="E34">_xldudf_WISE(A34, "Operating Income", $AI$4)</f>
        <v>20805000</v>
      </c>
      <c r="F34" s="24" cm="1">
        <f t="array" ref="F34">_xldudf_WISE(A34, "Net Income",$AI$4)</f>
        <v>21261000</v>
      </c>
      <c r="G34" s="24" cm="1">
        <f t="array" ref="G34">_xldudf_WISE(A34, "Revenue", $AI$4)</f>
        <v>128821000</v>
      </c>
      <c r="H34" s="23">
        <f t="shared" si="10"/>
        <v>0.16504296659706102</v>
      </c>
      <c r="I34" s="23">
        <f t="shared" si="11"/>
        <v>0.16150317106682915</v>
      </c>
      <c r="J34" s="25" cm="1">
        <f t="array" ref="J34">_xldudf_WISE(A34, "Free Cash Flow", $AI$4)/F34</f>
        <v>3.6813884577395233</v>
      </c>
      <c r="K34" s="23" cm="1">
        <f t="array" ref="K34">_xldudf_WISE(A34, "Revenue Growth", $AI$4)</f>
        <v>2.2200000000000001E-2</v>
      </c>
      <c r="L34" s="23" cm="1">
        <f t="array" ref="L34">_xldudf_WISE(A34, "EPS Growth", $AI$4)</f>
        <v>8.3699999999999997E-2</v>
      </c>
      <c r="M34" s="23" cm="1">
        <f t="array" ref="M34">(_xldudf_WISE(A34,"Estimated EPS AVG",2027)-_xldudf_WISE(A34,"Estimated EPS AVG",2026))/_xldudf_WISE(A34,"Estimated EPS AVG",2026)</f>
        <v>0.23130434782608703</v>
      </c>
      <c r="N34" s="26" t="str" cm="1">
        <f t="array" ref="N34">IF(_xldudf_WISE(A34,"EPS","LQ-0")&gt;_xldudf_WISE(A34,"EPS","LQ-1"),"Y","N")</f>
        <v>Y</v>
      </c>
      <c r="O34" s="25" cm="1">
        <f t="array" ref="O34">_xldudf_WISE(A34, "PE Ratio", $AI$4)</f>
        <v>56.344454290199998</v>
      </c>
      <c r="P34" s="25">
        <f t="shared" si="12"/>
        <v>2.435944452395864</v>
      </c>
      <c r="Q34" s="25" cm="1">
        <f t="array" ref="Q34">_xldudf_WISE(A34, "Enterprise Value Over EBITDA", $AI$4)</f>
        <v>189.5243987174</v>
      </c>
      <c r="R34" s="25" cm="1">
        <f t="array" ref="R34">_xldudf_WISE(A34, "Net Debt To EBITDA", $AI$4)</f>
        <v>-4.1132708316000004</v>
      </c>
      <c r="S34" s="25" cm="1">
        <f t="array" ref="S34">_xldudf_WISE(A34, "Current Ratio", $AI$4)</f>
        <v>1.5577954699000001</v>
      </c>
      <c r="T34" s="18" t="str" cm="1">
        <f t="array" ref="T34">_xldudf_WISEPRICE(A34,"Earnings Announcement")</f>
        <v>2026-05-14</v>
      </c>
      <c r="U34" s="19">
        <f t="shared" ca="1" si="13"/>
        <v>9</v>
      </c>
      <c r="V34" s="20">
        <v>40</v>
      </c>
      <c r="W34" s="21">
        <v>9000</v>
      </c>
      <c r="X34" s="22">
        <v>26.4</v>
      </c>
      <c r="Y34" s="15">
        <f t="shared" si="14"/>
        <v>3</v>
      </c>
      <c r="Z34" s="15">
        <f t="shared" si="15"/>
        <v>3.8</v>
      </c>
      <c r="AA34" s="15">
        <f t="shared" si="16"/>
        <v>1.3</v>
      </c>
      <c r="AB34" s="15">
        <f t="shared" si="17"/>
        <v>4.5</v>
      </c>
      <c r="AC34" s="15">
        <f t="shared" ca="1" si="18"/>
        <v>5</v>
      </c>
      <c r="AD34" s="15">
        <f t="shared" si="19"/>
        <v>3.3</v>
      </c>
      <c r="AE34" s="16">
        <f ca="1">IFERROR(ROUND(Y34*Weights!$B$6+Z34*Weights!$B$7+AA34*Weights!$B$8+AB34*Weights!$B$9+AC34*Weights!$B$10+AD34*Weights!$B$11,2),"")</f>
        <v>3.36</v>
      </c>
      <c r="AF34" s="14" t="str">
        <f t="shared" ca="1" si="9"/>
        <v>Hold/Watch</v>
      </c>
      <c r="AG34" s="17" t="str">
        <f t="shared" ca="1" si="20"/>
        <v>Quarter size or wait</v>
      </c>
    </row>
    <row r="35" spans="1:33" x14ac:dyDescent="0.25">
      <c r="A35" s="30" t="s">
        <v>109</v>
      </c>
      <c r="B35" s="31" t="str" cm="1">
        <f t="array" ref="B35">_xldudf_WISEPRICE(A35, "Name")</f>
        <v>Ares Management Corporation</v>
      </c>
      <c r="C35" s="23" cm="1">
        <f t="array" ref="C35">_xldudf_WISE(A35, "ROE", $AI$4)</f>
        <v>0</v>
      </c>
      <c r="D35" s="23" cm="1">
        <f t="array" ref="D35">_xldudf_WISE(A35, "ROIC", $AI$4)</f>
        <v>0</v>
      </c>
      <c r="E35" s="24" cm="1">
        <f t="array" ref="E35">_xldudf_WISE(A35, "Operating Income", $AI$4)</f>
        <v>364948000</v>
      </c>
      <c r="F35" s="24" cm="1">
        <f t="array" ref="F35">_xldudf_WISE(A35, "Net Income",$AI$4)</f>
        <v>142589000</v>
      </c>
      <c r="G35" s="24" cm="1">
        <f t="array" ref="G35">_xldudf_WISE(A35, "Revenue", $AI$4)</f>
        <v>1533411000</v>
      </c>
      <c r="H35" s="23">
        <f t="shared" si="10"/>
        <v>9.2988116036731183E-2</v>
      </c>
      <c r="I35" s="23">
        <f t="shared" si="11"/>
        <v>0.23799751012611753</v>
      </c>
      <c r="J35" s="25" cm="1">
        <f t="array" ref="J35">_xldudf_WISE(A35, "Free Cash Flow", $AI$4)/F35</f>
        <v>-15.077747932869997</v>
      </c>
      <c r="K35" s="23" cm="1">
        <f t="array" ref="K35">_xldudf_WISE(A35, "Revenue Growth", $AI$4)</f>
        <v>-0.13159999999999999</v>
      </c>
      <c r="L35" s="23" cm="1">
        <f t="array" ref="L35">_xldudf_WISE(A35, "EPS Growth", $AI$4)</f>
        <v>3</v>
      </c>
      <c r="M35" s="23" cm="1">
        <f t="array" ref="M35">(_xldudf_WISE(A35,"Estimated EPS AVG",2027)-_xldudf_WISE(A35,"Estimated EPS AVG",2026))/_xldudf_WISE(A35,"Estimated EPS AVG",2026)</f>
        <v>0.21792183782736541</v>
      </c>
      <c r="N35" s="26" t="str" cm="1">
        <f t="array" ref="N35">IF(_xldudf_WISE(A35,"EPS","LQ-0")&gt;_xldudf_WISE(A35,"EPS","LQ-1"),"Y","N")</f>
        <v>Y</v>
      </c>
      <c r="O35" s="25" cm="1">
        <f t="array" ref="O35">_xldudf_WISE(A35, "PE Ratio", $AI$4)</f>
        <v>42.854057491799999</v>
      </c>
      <c r="P35" s="25">
        <f t="shared" si="12"/>
        <v>1.9664875222715577</v>
      </c>
      <c r="Q35" s="25" cm="1">
        <f t="array" ref="Q35">_xldudf_WISE(A35, "Enterprise Value Over EBITDA", $AI$4)</f>
        <v>0</v>
      </c>
      <c r="R35" s="25" cm="1">
        <f t="array" ref="R35">_xldudf_WISE(A35, "Net Debt To EBITDA", $AI$4)</f>
        <v>0</v>
      </c>
      <c r="S35" s="25" cm="1">
        <f t="array" ref="S35">_xldudf_WISE(A35, "Current Ratio", $AI$4)</f>
        <v>0</v>
      </c>
      <c r="T35" s="18" t="str" cm="1">
        <f t="array" ref="T35">_xldudf_WISEPRICE(A35,"Earnings Announcement")</f>
        <v>2026-07-30</v>
      </c>
      <c r="U35" s="19">
        <f t="shared" ca="1" si="13"/>
        <v>86</v>
      </c>
      <c r="V35" s="20">
        <v>40</v>
      </c>
      <c r="W35" s="21">
        <v>9000</v>
      </c>
      <c r="X35" s="22">
        <v>27.4</v>
      </c>
      <c r="Y35" s="15">
        <f t="shared" si="14"/>
        <v>2</v>
      </c>
      <c r="Z35" s="15">
        <f t="shared" si="15"/>
        <v>4</v>
      </c>
      <c r="AA35" s="15">
        <f t="shared" si="16"/>
        <v>3</v>
      </c>
      <c r="AB35" s="15">
        <f t="shared" si="17"/>
        <v>3</v>
      </c>
      <c r="AC35" s="15">
        <f t="shared" ca="1" si="18"/>
        <v>5</v>
      </c>
      <c r="AD35" s="15">
        <f t="shared" si="19"/>
        <v>3.3</v>
      </c>
      <c r="AE35" s="16">
        <f ca="1">IFERROR(ROUND(Y35*Weights!$B$6+Z35*Weights!$B$7+AA35*Weights!$B$8+AB35*Weights!$B$9+AC35*Weights!$B$10+AD35*Weights!$B$11,2),"")</f>
        <v>3.2</v>
      </c>
      <c r="AF35" s="14" t="str">
        <f t="shared" ca="1" si="9"/>
        <v>Hold/Watch</v>
      </c>
      <c r="AG35" s="17" t="str">
        <f t="shared" ca="1" si="20"/>
        <v>Quarter size or wait</v>
      </c>
    </row>
    <row r="36" spans="1:33" x14ac:dyDescent="0.25">
      <c r="A36" s="30" t="s">
        <v>107</v>
      </c>
      <c r="B36" s="31" t="str" cm="1">
        <f t="array" ref="B36">_xldudf_WISEPRICE(A36, "Name")</f>
        <v>TPG Inc.</v>
      </c>
      <c r="C36" s="23" cm="1">
        <f t="array" ref="C36">_xldudf_WISE(A36, "ROE", $AI$4)</f>
        <v>-1.2828894999999999E-3</v>
      </c>
      <c r="D36" s="23" cm="1">
        <f t="array" ref="D36">_xldudf_WISE(A36, "ROIC", $AI$4)</f>
        <v>-7.9207730000000007E-3</v>
      </c>
      <c r="E36" s="24" cm="1">
        <f t="array" ref="E36">_xldudf_WISE(A36, "Operating Income", $AI$4)</f>
        <v>-120323000</v>
      </c>
      <c r="F36" s="24" cm="1">
        <f t="array" ref="F36">_xldudf_WISE(A36, "Net Income",$AI$4)</f>
        <v>-1454000</v>
      </c>
      <c r="G36" s="24" cm="1">
        <f t="array" ref="G36">_xldudf_WISE(A36, "Revenue", $AI$4)</f>
        <v>496151000</v>
      </c>
      <c r="H36" s="23">
        <f t="shared" si="10"/>
        <v>-2.9305594466200813E-3</v>
      </c>
      <c r="I36" s="23">
        <f t="shared" si="11"/>
        <v>-0.242512864027282</v>
      </c>
      <c r="J36" s="25" cm="1">
        <f t="array" ref="J36">_xldudf_WISE(A36, "Free Cash Flow", $AI$4)/F36</f>
        <v>-110.23658872077029</v>
      </c>
      <c r="K36" s="23" cm="1">
        <f t="array" ref="K36">_xldudf_WISE(A36, "Revenue Growth", $AI$4)</f>
        <v>-0.6673</v>
      </c>
      <c r="L36" s="23" cm="1">
        <f t="array" ref="L36">_xldudf_WISE(A36, "EPS Growth", $AI$4)</f>
        <v>-1.1000000000000001</v>
      </c>
      <c r="M36" s="23" cm="1">
        <f t="array" ref="M36">(_xldudf_WISE(A36,"Estimated EPS AVG",2027)-_xldudf_WISE(A36,"Estimated EPS AVG",2026))/_xldudf_WISE(A36,"Estimated EPS AVG",2026)</f>
        <v>0.27394087755859442</v>
      </c>
      <c r="N36" s="26" t="str" cm="1">
        <f t="array" ref="N36">IF(_xldudf_WISE(A36,"EPS","LQ-0")&gt;_xldudf_WISE(A36,"EPS","LQ-1"),"Y","N")</f>
        <v>N</v>
      </c>
      <c r="O36" s="25" cm="1">
        <f t="array" ref="O36">_xldudf_WISE(A36, "PE Ratio", $AI$4)</f>
        <v>-1111.9022300291999</v>
      </c>
      <c r="P36" s="25">
        <f t="shared" si="12"/>
        <v>-40.589131492118049</v>
      </c>
      <c r="Q36" s="25" cm="1">
        <f t="array" ref="Q36">_xldudf_WISE(A36, "Enterprise Value Over EBITDA", $AI$4)</f>
        <v>-272.52872677609997</v>
      </c>
      <c r="R36" s="25" cm="1">
        <f t="array" ref="R36">_xldudf_WISE(A36, "Net Debt To EBITDA", $AI$4)</f>
        <v>-32.0121840746</v>
      </c>
      <c r="S36" s="25" cm="1">
        <f t="array" ref="S36">_xldudf_WISE(A36, "Current Ratio", $AI$4)</f>
        <v>-148.02560336639999</v>
      </c>
      <c r="T36" s="18" t="str" cm="1">
        <f t="array" ref="T36">_xldudf_WISEPRICE(A36,"Earnings Announcement")</f>
        <v>2026-08-05</v>
      </c>
      <c r="U36" s="19">
        <f t="shared" ca="1" si="13"/>
        <v>92</v>
      </c>
      <c r="V36" s="20">
        <v>40</v>
      </c>
      <c r="W36" s="21">
        <v>9000</v>
      </c>
      <c r="X36" s="22">
        <v>28.4</v>
      </c>
      <c r="Y36" s="15">
        <f t="shared" si="14"/>
        <v>1</v>
      </c>
      <c r="Z36" s="15">
        <f t="shared" si="15"/>
        <v>2.2999999999999998</v>
      </c>
      <c r="AA36" s="15">
        <f t="shared" si="16"/>
        <v>5</v>
      </c>
      <c r="AB36" s="15">
        <f t="shared" si="17"/>
        <v>3</v>
      </c>
      <c r="AC36" s="15">
        <f t="shared" ca="1" si="18"/>
        <v>5</v>
      </c>
      <c r="AD36" s="15">
        <f t="shared" si="19"/>
        <v>3.3</v>
      </c>
      <c r="AE36" s="16">
        <f ca="1">IFERROR(ROUND(Y36*Weights!$B$6+Z36*Weights!$B$7+AA36*Weights!$B$8+AB36*Weights!$B$9+AC36*Weights!$B$10+AD36*Weights!$B$11,2),"")</f>
        <v>2.93</v>
      </c>
      <c r="AF36" s="14" t="str">
        <f t="shared" ca="1" si="9"/>
        <v>Pass</v>
      </c>
      <c r="AG36" s="17" t="str">
        <f t="shared" ca="1" si="20"/>
        <v>Skip</v>
      </c>
    </row>
    <row r="37" spans="1:33" x14ac:dyDescent="0.25">
      <c r="A37" s="30" t="s">
        <v>124</v>
      </c>
      <c r="B37" s="31" t="str" cm="1">
        <f t="array" ref="B37">_xldudf_WISEPRICE(A37, "Name")</f>
        <v>Rubrik, Inc.</v>
      </c>
      <c r="C37" s="23" cm="1">
        <f t="array" ref="C37">_xldudf_WISE(A37, "ROE", $AI$4)</f>
        <v>0.16738329590000001</v>
      </c>
      <c r="D37" s="23" cm="1">
        <f t="array" ref="D37">_xldudf_WISE(A37, "ROIC", $AI$4)</f>
        <v>-5.67162165E-2</v>
      </c>
      <c r="E37" s="24" cm="1">
        <f t="array" ref="E37">_xldudf_WISE(A37, "Operating Income", $AI$4)</f>
        <v>-82379000</v>
      </c>
      <c r="F37" s="24" cm="1">
        <f t="array" ref="F37">_xldudf_WISE(A37, "Net Income",$AI$4)</f>
        <v>-86966000</v>
      </c>
      <c r="G37" s="24" cm="1">
        <f t="array" ref="G37">_xldudf_WISE(A37, "Revenue", $AI$4)</f>
        <v>377684000</v>
      </c>
      <c r="H37" s="23">
        <f t="shared" si="10"/>
        <v>-0.2302612766227852</v>
      </c>
      <c r="I37" s="23">
        <f t="shared" si="11"/>
        <v>-0.21811620296332385</v>
      </c>
      <c r="J37" s="25" cm="1">
        <f t="array" ref="J37">_xldudf_WISE(A37, "Free Cash Flow", $AI$4)/F37</f>
        <v>-1.0050824460133845</v>
      </c>
      <c r="K37" s="23" cm="1">
        <f t="array" ref="K37">_xldudf_WISE(A37, "Revenue Growth", $AI$4)</f>
        <v>7.8600000000000003E-2</v>
      </c>
      <c r="L37" s="23" cm="1">
        <f t="array" ref="L37">_xldudf_WISE(A37, "EPS Growth", $AI$4)</f>
        <v>-0.375</v>
      </c>
      <c r="M37" s="23" cm="1">
        <f t="array" ref="M37">(_xldudf_WISE(A37,"Estimated EPS AVG",2027)-_xldudf_WISE(A37,"Estimated EPS AVG",2026))/_xldudf_WISE(A37,"Estimated EPS AVG",2026)</f>
        <v>-1.9942498993732389</v>
      </c>
      <c r="N37" s="26" t="str" cm="1">
        <f t="array" ref="N37">IF(_xldudf_WISE(A37,"EPS","LQ-0")&gt;_xldudf_WISE(A37,"EPS","LQ-1"),"Y","N")</f>
        <v>N</v>
      </c>
      <c r="O37" s="25" cm="1">
        <f t="array" ref="O37">_xldudf_WISE(A37, "PE Ratio", $AI$4)</f>
        <v>-31.599661361900001</v>
      </c>
      <c r="P37" s="25">
        <f t="shared" si="12"/>
        <v>0.15845386965711405</v>
      </c>
      <c r="Q37" s="25" cm="1">
        <f t="array" ref="Q37">_xldudf_WISE(A37, "Enterprise Value Over EBITDA", $AI$4)</f>
        <v>-142.54736765440001</v>
      </c>
      <c r="R37" s="25" cm="1">
        <f t="array" ref="R37">_xldudf_WISE(A37, "Net Debt To EBITDA", $AI$4)</f>
        <v>-9.1106349918999996</v>
      </c>
      <c r="S37" s="25" cm="1">
        <f t="array" ref="S37">_xldudf_WISE(A37, "Current Ratio", $AI$4)</f>
        <v>1.692134067</v>
      </c>
      <c r="T37" s="18" t="str" cm="1">
        <f t="array" ref="T37">_xldudf_WISEPRICE(A37,"Earnings Announcement")</f>
        <v>2026-06-04</v>
      </c>
      <c r="U37" s="19">
        <f t="shared" ca="1" si="13"/>
        <v>30</v>
      </c>
      <c r="V37" s="20">
        <v>40</v>
      </c>
      <c r="W37" s="21">
        <v>9000</v>
      </c>
      <c r="X37" s="22">
        <v>29.4</v>
      </c>
      <c r="Y37" s="15">
        <f t="shared" si="14"/>
        <v>1.6</v>
      </c>
      <c r="Z37" s="15">
        <f t="shared" si="15"/>
        <v>1.8</v>
      </c>
      <c r="AA37" s="15">
        <f t="shared" si="16"/>
        <v>5</v>
      </c>
      <c r="AB37" s="15">
        <f t="shared" si="17"/>
        <v>4.5</v>
      </c>
      <c r="AC37" s="15">
        <f t="shared" ca="1" si="18"/>
        <v>5</v>
      </c>
      <c r="AD37" s="15">
        <f t="shared" si="19"/>
        <v>3.3</v>
      </c>
      <c r="AE37" s="16">
        <f ca="1">IFERROR(ROUND(Y37*Weights!$B$6+Z37*Weights!$B$7+AA37*Weights!$B$8+AB37*Weights!$B$9+AC37*Weights!$B$10+AD37*Weights!$B$11,2),"")</f>
        <v>3.25</v>
      </c>
      <c r="AF37" s="14" t="str">
        <f t="shared" ca="1" si="9"/>
        <v>Hold/Watch</v>
      </c>
      <c r="AG37" s="17" t="str">
        <f t="shared" ca="1" si="20"/>
        <v>Quarter size or wait</v>
      </c>
    </row>
    <row r="38" spans="1:33" x14ac:dyDescent="0.25">
      <c r="A38" s="30" t="s">
        <v>118</v>
      </c>
      <c r="B38" s="31" t="str" cm="1">
        <f t="array" ref="B38">_xldudf_WISEPRICE(A38, "Name")</f>
        <v>Blue Owl Capital Corporation</v>
      </c>
      <c r="C38" s="23" cm="1">
        <f t="array" ref="C38">_xldudf_WISE(A38, "ROE", $AI$4)</f>
        <v>1.60987574E-2</v>
      </c>
      <c r="D38" s="23" cm="1">
        <f t="array" ref="D38">_xldudf_WISE(A38, "ROIC", $AI$4)</f>
        <v>1.5126821E-2</v>
      </c>
      <c r="E38" s="24" cm="1">
        <f t="array" ref="E38">_xldudf_WISE(A38, "Operating Income", $AI$4)</f>
        <v>265889000</v>
      </c>
      <c r="F38" s="24" cm="1">
        <f t="array" ref="F38">_xldudf_WISE(A38, "Net Income",$AI$4)</f>
        <v>119087000</v>
      </c>
      <c r="G38" s="24" cm="1">
        <f t="array" ref="G38">_xldudf_WISE(A38, "Revenue", $AI$4)</f>
        <v>407894000</v>
      </c>
      <c r="H38" s="23">
        <f t="shared" si="10"/>
        <v>0.29195575321039291</v>
      </c>
      <c r="I38" s="23">
        <f t="shared" si="11"/>
        <v>0.6518580807758878</v>
      </c>
      <c r="J38" s="25" cm="1">
        <f t="array" ref="J38">_xldudf_WISE(A38, "Free Cash Flow", $AI$4)/F38</f>
        <v>6.910040558583221</v>
      </c>
      <c r="K38" s="23" cm="1">
        <f t="array" ref="K38">_xldudf_WISE(A38, "Revenue Growth", $AI$4)</f>
        <v>0.39789999999999998</v>
      </c>
      <c r="L38" s="23" cm="1">
        <f t="array" ref="L38">_xldudf_WISE(A38, "EPS Growth", $AI$4)</f>
        <v>-0.08</v>
      </c>
      <c r="M38" s="23" cm="1">
        <f t="array" ref="M38">(_xldudf_WISE(A38,"Estimated EPS AVG",2027)-_xldudf_WISE(A38,"Estimated EPS AVG",2026))/_xldudf_WISE(A38,"Estimated EPS AVG",2026)</f>
        <v>-2.0759124087591254E-2</v>
      </c>
      <c r="N38" s="26" t="str" cm="1">
        <f t="array" ref="N38">IF(_xldudf_WISE(A38,"EPS","LQ-0")&gt;_xldudf_WISE(A38,"EPS","LQ-1"),"Y","N")</f>
        <v>N</v>
      </c>
      <c r="O38" s="25" cm="1">
        <f t="array" ref="O38">_xldudf_WISE(A38, "PE Ratio", $AI$4)</f>
        <v>13.25101819</v>
      </c>
      <c r="P38" s="25">
        <f t="shared" si="12"/>
        <v>-6.3832260619901504</v>
      </c>
      <c r="Q38" s="25" cm="1">
        <f t="array" ref="Q38">_xldudf_WISE(A38, "Enterprise Value Over EBITDA", $AI$4)</f>
        <v>58.568195516300001</v>
      </c>
      <c r="R38" s="25" cm="1">
        <f t="array" ref="R38">_xldudf_WISE(A38, "Net Debt To EBITDA", $AI$4)</f>
        <v>34.873785642400001</v>
      </c>
      <c r="S38" s="25" cm="1">
        <f t="array" ref="S38">_xldudf_WISE(A38, "Current Ratio", $AI$4)</f>
        <v>0</v>
      </c>
      <c r="T38" s="18" t="str" cm="1">
        <f t="array" ref="T38">_xldudf_WISEPRICE(A38,"Earnings Announcement")</f>
        <v>2026-05-06</v>
      </c>
      <c r="U38" s="19">
        <f t="shared" ca="1" si="13"/>
        <v>1</v>
      </c>
      <c r="V38" s="20">
        <v>40</v>
      </c>
      <c r="W38" s="21">
        <v>9000</v>
      </c>
      <c r="X38" s="22">
        <v>30.4</v>
      </c>
      <c r="Y38" s="15">
        <f t="shared" si="14"/>
        <v>3.4</v>
      </c>
      <c r="Z38" s="15">
        <f t="shared" si="15"/>
        <v>2.2999999999999998</v>
      </c>
      <c r="AA38" s="15">
        <f t="shared" si="16"/>
        <v>3.7</v>
      </c>
      <c r="AB38" s="15">
        <f t="shared" si="17"/>
        <v>1</v>
      </c>
      <c r="AC38" s="15">
        <f t="shared" ca="1" si="18"/>
        <v>4</v>
      </c>
      <c r="AD38" s="15">
        <f t="shared" si="19"/>
        <v>3.3</v>
      </c>
      <c r="AE38" s="16">
        <f ca="1">IFERROR(ROUND(Y38*Weights!$B$6+Z38*Weights!$B$7+AA38*Weights!$B$8+AB38*Weights!$B$9+AC38*Weights!$B$10+AD38*Weights!$B$11,2),"")</f>
        <v>2.77</v>
      </c>
      <c r="AF38" s="14" t="str">
        <f t="shared" ca="1" si="9"/>
        <v>Pass</v>
      </c>
      <c r="AG38" s="17" t="str">
        <f t="shared" ca="1" si="20"/>
        <v>Skip</v>
      </c>
    </row>
    <row r="39" spans="1:33" x14ac:dyDescent="0.25">
      <c r="A39" s="30" t="s">
        <v>123</v>
      </c>
      <c r="B39" s="31" t="str" cm="1">
        <f t="array" ref="B39">_xldudf_WISEPRICE(A39, "Name")</f>
        <v>Sable Offshore Corp.</v>
      </c>
      <c r="C39" s="23" cm="1">
        <f t="array" ref="C39">_xldudf_WISE(A39, "ROE", $AI$4)</f>
        <v>-0.1163646845</v>
      </c>
      <c r="D39" s="23" cm="1">
        <f t="array" ref="D39">_xldudf_WISE(A39, "ROIC", $AI$4)</f>
        <v>-0.1145232645</v>
      </c>
      <c r="E39" s="24" cm="1">
        <f t="array" ref="E39">_xldudf_WISE(A39, "Operating Income", $AI$4)</f>
        <v>-100216000</v>
      </c>
      <c r="F39" s="24" cm="1">
        <f t="array" ref="F39">_xldudf_WISE(A39, "Net Income",$AI$4)</f>
        <v>-62174000</v>
      </c>
      <c r="G39" s="24" cm="1">
        <f t="array" ref="G39">_xldudf_WISE(A39, "Revenue", $AI$4)</f>
        <v>0</v>
      </c>
      <c r="H39" s="23" t="e">
        <f t="shared" si="10"/>
        <v>#DIV/0!</v>
      </c>
      <c r="I39" s="23" t="e">
        <f t="shared" si="11"/>
        <v>#DIV/0!</v>
      </c>
      <c r="J39" s="25" cm="1">
        <f t="array" ref="J39">_xldudf_WISE(A39, "Free Cash Flow", $AI$4)/F39</f>
        <v>3.0987068549554477</v>
      </c>
      <c r="K39" s="23" cm="1">
        <f t="array" ref="K39">_xldudf_WISE(A39, "Revenue Growth", $AI$4)</f>
        <v>0</v>
      </c>
      <c r="L39" s="23" cm="1">
        <f t="array" ref="L39">_xldudf_WISE(A39, "EPS Growth", $AI$4)</f>
        <v>0.64459999999999995</v>
      </c>
      <c r="M39" s="23" cm="1">
        <f t="array" ref="M39">(_xldudf_WISE(A39,"Estimated EPS AVG",2027)-_xldudf_WISE(A39,"Estimated EPS AVG",2026))/_xldudf_WISE(A39,"Estimated EPS AVG",2026)</f>
        <v>0.59345794392523377</v>
      </c>
      <c r="N39" s="26" t="str" cm="1">
        <f t="array" ref="N39">IF(_xldudf_WISE(A39,"EPS","LQ-0")&gt;_xldudf_WISE(A39,"EPS","LQ-1"),"Y","N")</f>
        <v>Y</v>
      </c>
      <c r="O39" s="25" cm="1">
        <f t="array" ref="O39">_xldudf_WISE(A39, "PE Ratio", $AI$4)</f>
        <v>-3.5608973247</v>
      </c>
      <c r="P39" s="25">
        <f t="shared" si="12"/>
        <v>-6.0002521849275584E-2</v>
      </c>
      <c r="Q39" s="25" cm="1">
        <f t="array" ref="Q39">_xldudf_WISE(A39, "Enterprise Value Over EBITDA", $AI$4)</f>
        <v>-16.2711298569</v>
      </c>
      <c r="R39" s="25" cm="1">
        <f t="array" ref="R39">_xldudf_WISE(A39, "Net Debt To EBITDA", $AI$4)</f>
        <v>2.0173058256999998</v>
      </c>
      <c r="S39" s="25" cm="1">
        <f t="array" ref="S39">_xldudf_WISE(A39, "Current Ratio", $AI$4)</f>
        <v>0.1325959401</v>
      </c>
      <c r="T39" s="18" t="str" cm="1">
        <f t="array" ref="T39">_xldudf_WISEPRICE(A39,"Earnings Announcement")</f>
        <v>2026-05-07</v>
      </c>
      <c r="U39" s="19">
        <f t="shared" ca="1" si="13"/>
        <v>2</v>
      </c>
      <c r="V39" s="20">
        <v>40</v>
      </c>
      <c r="W39" s="21">
        <v>9000</v>
      </c>
      <c r="X39" s="22">
        <v>31.4</v>
      </c>
      <c r="Y39" s="15" t="str">
        <f t="shared" si="14"/>
        <v/>
      </c>
      <c r="Z39" s="15">
        <f t="shared" si="15"/>
        <v>4.3</v>
      </c>
      <c r="AA39" s="15">
        <f t="shared" si="16"/>
        <v>5</v>
      </c>
      <c r="AB39" s="15">
        <f t="shared" si="17"/>
        <v>2</v>
      </c>
      <c r="AC39" s="15">
        <f t="shared" ca="1" si="18"/>
        <v>4</v>
      </c>
      <c r="AD39" s="15">
        <f t="shared" si="19"/>
        <v>3.3</v>
      </c>
      <c r="AE39" s="16" t="str">
        <f ca="1">IFERROR(ROUND(Y39*Weights!$B$6+Z39*Weights!$B$7+AA39*Weights!$B$8+AB39*Weights!$B$9+AC39*Weights!$B$10+AD39*Weights!$B$11,2),"")</f>
        <v/>
      </c>
      <c r="AF39" s="14" t="str">
        <f t="shared" ca="1" si="9"/>
        <v/>
      </c>
      <c r="AG39" s="17" t="str">
        <f t="shared" ca="1" si="20"/>
        <v/>
      </c>
    </row>
    <row r="40" spans="1:33" x14ac:dyDescent="0.25">
      <c r="A40" s="30" t="s">
        <v>126</v>
      </c>
      <c r="B40" s="31" t="str" cm="1">
        <f t="array" ref="B40">_xldudf_WISEPRICE(A40, "Name")</f>
        <v>ExlService Holdings, Inc.</v>
      </c>
      <c r="C40" s="23" cm="1">
        <f t="array" ref="C40">_xldudf_WISE(A40, "ROE", $AI$4)</f>
        <v>8.6133353199999999E-2</v>
      </c>
      <c r="D40" s="23" cm="1">
        <f t="array" ref="D40">_xldudf_WISE(A40, "ROIC", $AI$4)</f>
        <v>4.8184801300000003E-2</v>
      </c>
      <c r="E40" s="24" cm="1">
        <f t="array" ref="E40">_xldudf_WISE(A40, "Operating Income", $AI$4)</f>
        <v>91826000</v>
      </c>
      <c r="F40" s="24" cm="1">
        <f t="array" ref="F40">_xldudf_WISE(A40, "Net Income",$AI$4)</f>
        <v>67081000</v>
      </c>
      <c r="G40" s="24" cm="1">
        <f t="array" ref="G40">_xldudf_WISE(A40, "Revenue", $AI$4)</f>
        <v>570351000</v>
      </c>
      <c r="H40" s="23">
        <f t="shared" si="10"/>
        <v>0.11761353973255066</v>
      </c>
      <c r="I40" s="23">
        <f t="shared" si="11"/>
        <v>0.16099910406048207</v>
      </c>
      <c r="J40" s="25" cm="1">
        <f t="array" ref="J40">_xldudf_WISE(A40, "Free Cash Flow", $AI$4)/F40</f>
        <v>-0.16717103203589689</v>
      </c>
      <c r="K40" s="23" cm="1">
        <f t="array" ref="K40">_xldudf_WISE(A40, "Revenue Growth", $AI$4)</f>
        <v>5.11E-2</v>
      </c>
      <c r="L40" s="23" cm="1">
        <f t="array" ref="L40">_xldudf_WISE(A40, "EPS Growth", $AI$4)</f>
        <v>0.13159999999999999</v>
      </c>
      <c r="M40" s="23" cm="1">
        <f t="array" ref="M40">(_xldudf_WISE(A40,"Estimated EPS AVG",2027)-_xldudf_WISE(A40,"Estimated EPS AVG",2026))/_xldudf_WISE(A40,"Estimated EPS AVG",2026)</f>
        <v>0.11838598478209082</v>
      </c>
      <c r="N40" s="26" t="str" cm="1">
        <f t="array" ref="N40">IF(_xldudf_WISE(A40,"EPS","LQ-0")&gt;_xldudf_WISE(A40,"EPS","LQ-1"),"Y","N")</f>
        <v>Y</v>
      </c>
      <c r="O40" s="25" cm="1">
        <f t="array" ref="O40">_xldudf_WISE(A40, "PE Ratio", $AI$4)</f>
        <v>17.708801770099999</v>
      </c>
      <c r="P40" s="25">
        <f t="shared" si="12"/>
        <v>1.4958528919361533</v>
      </c>
      <c r="Q40" s="25" cm="1">
        <f t="array" ref="Q40">_xldudf_WISE(A40, "Enterprise Value Over EBITDA", $AI$4)</f>
        <v>44.531610229999998</v>
      </c>
      <c r="R40" s="25" cm="1">
        <f t="array" ref="R40">_xldudf_WISE(A40, "Net Debt To EBITDA", $AI$4)</f>
        <v>-0.37154251049999998</v>
      </c>
      <c r="S40" s="25" cm="1">
        <f t="array" ref="S40">_xldudf_WISE(A40, "Current Ratio", $AI$4)</f>
        <v>2.6621827360000001</v>
      </c>
      <c r="T40" s="18" t="str" cm="1">
        <f t="array" ref="T40">_xldudf_WISEPRICE(A40,"Earnings Announcement")</f>
        <v>2026-07-28</v>
      </c>
      <c r="U40" s="19">
        <f t="shared" ca="1" si="13"/>
        <v>84</v>
      </c>
      <c r="V40" s="20">
        <v>40</v>
      </c>
      <c r="W40" s="21">
        <v>9000</v>
      </c>
      <c r="X40" s="22">
        <v>32.4</v>
      </c>
      <c r="Y40" s="15">
        <f t="shared" si="14"/>
        <v>2.2000000000000002</v>
      </c>
      <c r="Z40" s="15">
        <f t="shared" si="15"/>
        <v>4</v>
      </c>
      <c r="AA40" s="15">
        <f t="shared" si="16"/>
        <v>3</v>
      </c>
      <c r="AB40" s="15">
        <f t="shared" si="17"/>
        <v>5</v>
      </c>
      <c r="AC40" s="15">
        <f t="shared" ca="1" si="18"/>
        <v>5</v>
      </c>
      <c r="AD40" s="15">
        <f t="shared" si="19"/>
        <v>3.3</v>
      </c>
      <c r="AE40" s="16">
        <f ca="1">IFERROR(ROUND(Y40*Weights!$B$6+Z40*Weights!$B$7+AA40*Weights!$B$8+AB40*Weights!$B$9+AC40*Weights!$B$10+AD40*Weights!$B$11,2),"")</f>
        <v>3.65</v>
      </c>
      <c r="AF40" s="14" t="str">
        <f t="shared" ca="1" si="9"/>
        <v>Buy</v>
      </c>
      <c r="AG40" s="17" t="str">
        <f t="shared" ca="1" si="20"/>
        <v>Half size — ITM call preferred</v>
      </c>
    </row>
    <row r="41" spans="1:33" x14ac:dyDescent="0.25">
      <c r="A41" s="30" t="s">
        <v>122</v>
      </c>
      <c r="B41" s="31" t="str" cm="1">
        <f t="array" ref="B41">_xldudf_WISEPRICE(A41, "Name")</f>
        <v>Expand Energy Corporation</v>
      </c>
      <c r="C41" s="23" cm="1">
        <f t="array" ref="C41">_xldudf_WISE(A41, "ROE", $AI$4)</f>
        <v>5.9296019599999999E-2</v>
      </c>
      <c r="D41" s="23" cm="1">
        <f t="array" ref="D41">_xldudf_WISE(A41, "ROIC", $AI$4)</f>
        <v>4.4974591100000003E-2</v>
      </c>
      <c r="E41" s="24" cm="1">
        <f t="array" ref="E41">_xldudf_WISE(A41, "Operating Income", $AI$4)</f>
        <v>1531000000</v>
      </c>
      <c r="F41" s="24" cm="1">
        <f t="array" ref="F41">_xldudf_WISE(A41, "Net Income",$AI$4)</f>
        <v>1159000000</v>
      </c>
      <c r="G41" s="24" cm="1">
        <f t="array" ref="G41">_xldudf_WISE(A41, "Revenue", $AI$4)</f>
        <v>4397000000</v>
      </c>
      <c r="H41" s="23">
        <f t="shared" si="10"/>
        <v>0.26358881055264954</v>
      </c>
      <c r="I41" s="23">
        <f t="shared" si="11"/>
        <v>0.34819194905617468</v>
      </c>
      <c r="J41" s="25" cm="1">
        <f t="array" ref="J41">_xldudf_WISE(A41, "Free Cash Flow", $AI$4)/F41</f>
        <v>1.4624676445211389</v>
      </c>
      <c r="K41" s="23" cm="1">
        <f t="array" ref="K41">_xldudf_WISE(A41, "Revenue Growth", $AI$4)</f>
        <v>0.44309999999999999</v>
      </c>
      <c r="L41" s="23" cm="1">
        <f t="array" ref="L41">_xldudf_WISE(A41, "EPS Growth", $AI$4)</f>
        <v>1.0466</v>
      </c>
      <c r="M41" s="23" cm="1">
        <f t="array" ref="M41">(_xldudf_WISE(A41,"Estimated EPS AVG",2027)-_xldudf_WISE(A41,"Estimated EPS AVG",2026))/_xldudf_WISE(A41,"Estimated EPS AVG",2026)</f>
        <v>4.5199305829490125E-2</v>
      </c>
      <c r="N41" s="26" t="str" cm="1">
        <f t="array" ref="N41">IF(_xldudf_WISE(A41,"EPS","LQ-0")&gt;_xldudf_WISE(A41,"EPS","LQ-1"),"Y","N")</f>
        <v>Y</v>
      </c>
      <c r="O41" s="25" cm="1">
        <f t="array" ref="O41">_xldudf_WISE(A41, "PE Ratio", $AI$4)</f>
        <v>5.6808071612999997</v>
      </c>
      <c r="P41" s="25">
        <f t="shared" si="12"/>
        <v>1.2568350458147031</v>
      </c>
      <c r="Q41" s="25" cm="1">
        <f t="array" ref="Q41">_xldudf_WISE(A41, "Enterprise Value Over EBITDA", $AI$4)</f>
        <v>13.0130338983</v>
      </c>
      <c r="R41" s="25" cm="1">
        <f t="array" ref="R41">_xldudf_WISE(A41, "Net Debt To EBITDA", $AI$4)</f>
        <v>1.266280107</v>
      </c>
      <c r="S41" s="25" cm="1">
        <f t="array" ref="S41">_xldudf_WISE(A41, "Current Ratio", $AI$4)</f>
        <v>1.1106329114</v>
      </c>
      <c r="T41" s="18" t="str" cm="1">
        <f t="array" ref="T41">_xldudf_WISEPRICE(A41,"Earnings Announcement")</f>
        <v>2026-07-28</v>
      </c>
      <c r="U41" s="19">
        <f t="shared" ca="1" si="13"/>
        <v>84</v>
      </c>
      <c r="V41" s="20">
        <v>40</v>
      </c>
      <c r="W41" s="21">
        <v>9000</v>
      </c>
      <c r="X41" s="22">
        <v>33.4</v>
      </c>
      <c r="Y41" s="15">
        <f t="shared" si="14"/>
        <v>3.6</v>
      </c>
      <c r="Z41" s="15">
        <f t="shared" si="15"/>
        <v>4.3</v>
      </c>
      <c r="AA41" s="15">
        <f t="shared" si="16"/>
        <v>4.3</v>
      </c>
      <c r="AB41" s="15">
        <f t="shared" si="17"/>
        <v>3.5</v>
      </c>
      <c r="AC41" s="15">
        <f t="shared" ca="1" si="18"/>
        <v>5</v>
      </c>
      <c r="AD41" s="15">
        <f t="shared" si="19"/>
        <v>3.3</v>
      </c>
      <c r="AE41" s="16">
        <f ca="1">IFERROR(ROUND(Y41*Weights!$B$6+Z41*Weights!$B$7+AA41*Weights!$B$8+AB41*Weights!$B$9+AC41*Weights!$B$10+AD41*Weights!$B$11,2),"")</f>
        <v>4.04</v>
      </c>
      <c r="AF41" s="14" t="str">
        <f t="shared" ca="1" si="9"/>
        <v>Strong Buy</v>
      </c>
      <c r="AG41" s="17" t="str">
        <f t="shared" ca="1" si="20"/>
        <v>Full size — stock or ITM call</v>
      </c>
    </row>
    <row r="42" spans="1:33" x14ac:dyDescent="0.25">
      <c r="A42" s="30" t="s">
        <v>128</v>
      </c>
      <c r="B42" s="31" t="str" cm="1">
        <f t="array" ref="B42">_xldudf_WISEPRICE(A42, "Name")</f>
        <v>Intuit Inc.</v>
      </c>
      <c r="C42" s="23" cm="1">
        <f t="array" ref="C42">_xldudf_WISE(A42, "ROE", $AI$4)</f>
        <v>3.6368407200000001E-2</v>
      </c>
      <c r="D42" s="23" cm="1">
        <f t="array" ref="D42">_xldudf_WISE(A42, "ROIC", $AI$4)</f>
        <v>2.5955896400000001E-2</v>
      </c>
      <c r="E42" s="24" cm="1">
        <f t="array" ref="E42">_xldudf_WISE(A42, "Operating Income", $AI$4)</f>
        <v>855000000</v>
      </c>
      <c r="F42" s="24" cm="1">
        <f t="array" ref="F42">_xldudf_WISE(A42, "Net Income",$AI$4)</f>
        <v>693000000</v>
      </c>
      <c r="G42" s="24" cm="1">
        <f t="array" ref="G42">_xldudf_WISE(A42, "Revenue", $AI$4)</f>
        <v>4651000000</v>
      </c>
      <c r="H42" s="23">
        <f t="shared" si="10"/>
        <v>0.14900021500752525</v>
      </c>
      <c r="I42" s="23">
        <f t="shared" si="11"/>
        <v>0.18383143410019351</v>
      </c>
      <c r="J42" s="25" cm="1">
        <f t="array" ref="J42">_xldudf_WISE(A42, "Free Cash Flow", $AI$4)/F42</f>
        <v>2.1991341991341993</v>
      </c>
      <c r="K42" s="23" cm="1">
        <f t="array" ref="K42">_xldudf_WISE(A42, "Revenue Growth", $AI$4)</f>
        <v>0.19719999999999999</v>
      </c>
      <c r="L42" s="23" cm="1">
        <f t="array" ref="L42">_xldudf_WISE(A42, "EPS Growth", $AI$4)</f>
        <v>0.55630000000000002</v>
      </c>
      <c r="M42" s="23" cm="1">
        <f t="array" ref="M42">(_xldudf_WISE(A42,"Estimated EPS AVG",2027)-_xldudf_WISE(A42,"Estimated EPS AVG",2026))/_xldudf_WISE(A42,"Estimated EPS AVG",2026)</f>
        <v>0.13739943377922204</v>
      </c>
      <c r="N42" s="26" t="str" cm="1">
        <f t="array" ref="N42">IF(_xldudf_WISE(A42,"EPS","LQ-0")&gt;_xldudf_WISE(A42,"EPS","LQ-1"),"Y","N")</f>
        <v>Y</v>
      </c>
      <c r="O42" s="25" cm="1">
        <f t="array" ref="O42">_xldudf_WISE(A42, "PE Ratio", $AI$4)</f>
        <v>50.215974025999998</v>
      </c>
      <c r="P42" s="25">
        <f t="shared" si="12"/>
        <v>3.6547438839295863</v>
      </c>
      <c r="Q42" s="25" cm="1">
        <f t="array" ref="Q42">_xldudf_WISE(A42, "Enterprise Value Over EBITDA", $AI$4)</f>
        <v>114.8487859425</v>
      </c>
      <c r="R42" s="25" cm="1">
        <f t="array" ref="R42">_xldudf_WISE(A42, "Net Debt To EBITDA", $AI$4)</f>
        <v>3.6677316294</v>
      </c>
      <c r="S42" s="25" cm="1">
        <f t="array" ref="S42">_xldudf_WISE(A42, "Current Ratio", $AI$4)</f>
        <v>1.3232700136</v>
      </c>
      <c r="T42" s="18" t="str" cm="1">
        <f t="array" ref="T42">_xldudf_WISEPRICE(A42,"Earnings Announcement")</f>
        <v>2026-05-20</v>
      </c>
      <c r="U42" s="19">
        <f t="shared" ca="1" si="13"/>
        <v>15</v>
      </c>
      <c r="V42" s="20">
        <v>40</v>
      </c>
      <c r="W42" s="21">
        <v>9000</v>
      </c>
      <c r="X42" s="22">
        <v>34.4</v>
      </c>
      <c r="Y42" s="15">
        <f t="shared" si="14"/>
        <v>3</v>
      </c>
      <c r="Z42" s="15">
        <f t="shared" si="15"/>
        <v>4.5</v>
      </c>
      <c r="AA42" s="15">
        <f t="shared" si="16"/>
        <v>1</v>
      </c>
      <c r="AB42" s="15">
        <f t="shared" si="17"/>
        <v>2.5</v>
      </c>
      <c r="AC42" s="15">
        <f t="shared" ca="1" si="18"/>
        <v>5</v>
      </c>
      <c r="AD42" s="15">
        <f t="shared" si="19"/>
        <v>3.3</v>
      </c>
      <c r="AE42" s="16">
        <f ca="1">IFERROR(ROUND(Y42*Weights!$B$6+Z42*Weights!$B$7+AA42*Weights!$B$8+AB42*Weights!$B$9+AC42*Weights!$B$10+AD42*Weights!$B$11,2),"")</f>
        <v>3.08</v>
      </c>
      <c r="AF42" s="14" t="str">
        <f t="shared" ca="1" si="9"/>
        <v>Hold/Watch</v>
      </c>
      <c r="AG42" s="17" t="str">
        <f t="shared" ca="1" si="20"/>
        <v>Quarter size or wait</v>
      </c>
    </row>
    <row r="43" spans="1:33" x14ac:dyDescent="0.25">
      <c r="A43" s="30" t="s">
        <v>120</v>
      </c>
      <c r="B43" s="31" t="str" cm="1">
        <f t="array" ref="B43">_xldudf_WISEPRICE(A43, "Name")</f>
        <v>Zscaler, Inc.</v>
      </c>
      <c r="C43" s="23" cm="1">
        <f t="array" ref="C43">_xldudf_WISE(A43, "ROE", $AI$4)</f>
        <v>-1.5625142299999999E-2</v>
      </c>
      <c r="D43" s="23" cm="1">
        <f t="array" ref="D43">_xldudf_WISE(A43, "ROIC", $AI$4)</f>
        <v>-1.15553151E-2</v>
      </c>
      <c r="E43" s="24" cm="1">
        <f t="array" ref="E43">_xldudf_WISE(A43, "Operating Income", $AI$4)</f>
        <v>-51773000</v>
      </c>
      <c r="F43" s="24" cm="1">
        <f t="array" ref="F43">_xldudf_WISE(A43, "Net Income",$AI$4)</f>
        <v>-34312000</v>
      </c>
      <c r="G43" s="24" cm="1">
        <f t="array" ref="G43">_xldudf_WISE(A43, "Revenue", $AI$4)</f>
        <v>815751000</v>
      </c>
      <c r="H43" s="23">
        <f>F43/G43</f>
        <v>-4.2061854659081022E-2</v>
      </c>
      <c r="I43" s="23">
        <f t="shared" si="11"/>
        <v>-6.3466670589432311E-2</v>
      </c>
      <c r="J43" s="25" cm="1">
        <f t="array" ref="J43">_xldudf_WISE(A43, "Free Cash Flow", $AI$4)/F43</f>
        <v>-6.9671543483329446</v>
      </c>
      <c r="K43" s="23" cm="1">
        <f t="array" ref="K43">_xldudf_WISE(A43, "Revenue Growth", $AI$4)</f>
        <v>3.5099999999999999E-2</v>
      </c>
      <c r="L43" s="23" cm="1">
        <f t="array" ref="L43">_xldudf_WISE(A43, "EPS Growth", $AI$4)</f>
        <v>-2</v>
      </c>
      <c r="M43" s="23" cm="1">
        <f t="array" ref="M43">(_xldudf_WISE(A43,"Estimated EPS AVG",2027)-_xldudf_WISE(A43,"Estimated EPS AVG",2026))/_xldudf_WISE(A43,"Estimated EPS AVG",2026)</f>
        <v>0.13922687735214226</v>
      </c>
      <c r="N43" s="26" t="str" cm="1">
        <f t="array" ref="N43">IF(_xldudf_WISE(A43,"EPS","LQ-0")&gt;_xldudf_WISE(A43,"EPS","LQ-1"),"Y","N")</f>
        <v>N</v>
      </c>
      <c r="O43" s="25" cm="1">
        <f t="array" ref="O43">_xldudf_WISE(A43, "PE Ratio", $AI$4)</f>
        <v>-232.70427860519999</v>
      </c>
      <c r="P43" s="25">
        <f t="shared" si="12"/>
        <v>-16.714034174351855</v>
      </c>
      <c r="Q43" s="25" cm="1">
        <f t="array" ref="Q43">_xldudf_WISE(A43, "Enterprise Value Over EBITDA", $AI$4)</f>
        <v>1124.8691842932001</v>
      </c>
      <c r="R43" s="25" cm="1">
        <f t="array" ref="R43">_xldudf_WISE(A43, "Net Debt To EBITDA", $AI$4)</f>
        <v>22.830026569099999</v>
      </c>
      <c r="S43" s="25" cm="1">
        <f t="array" ref="S43">_xldudf_WISE(A43, "Current Ratio", $AI$4)</f>
        <v>1.9012505948</v>
      </c>
      <c r="T43" s="18" t="str" cm="1">
        <f t="array" ref="T43">_xldudf_WISEPRICE(A43,"Earnings Announcement")</f>
        <v>2026-05-28</v>
      </c>
      <c r="U43" s="19">
        <f t="shared" ca="1" si="13"/>
        <v>23</v>
      </c>
      <c r="V43" s="20">
        <v>40</v>
      </c>
      <c r="W43" s="21">
        <v>9000</v>
      </c>
      <c r="X43" s="22">
        <v>35.4</v>
      </c>
      <c r="Y43" s="15">
        <f>IFERROR(ROUND((IF(C43&gt;=0.2,5,IF(C43&gt;=0.15,4,IF(C43&gt;=0.1,3,IF(C43&gt;=0.05,2,1))))+IF(D43&gt;=0.15,5,IF(D43&gt;=0.12,4,IF(D43&gt;=0.08,3,IF(D43&gt;=0.05,2,1))))+IF(H43&gt;=0.2,5,IF(H43&gt;=0.12,4,IF(H43&gt;=0.07,3,IF(H43&gt;=0.03,2,1))))+IF(I43&gt;=0.25,5,IF(I43&gt;=0.15,4,IF(I43&gt;=0.08,3,IF(I43&gt;=0.03,2,1))))+IF(J43&gt;=1,5,IF(J43&gt;=0.85,4,IF(J43&gt;=0.7,3,IF(J43&gt;=0.5,2,1)))))/5,1),"")</f>
        <v>1</v>
      </c>
      <c r="Z43" s="15">
        <f t="shared" si="15"/>
        <v>2.2999999999999998</v>
      </c>
      <c r="AA43" s="15">
        <f>IFERROR(ROUND((IF(O43&lt;=15,5,IF(O43&lt;=20,4,IF(O43&lt;=28,3,IF(O43&lt;=40,2,1))))+IF(P43&lt;=1,5,IF(P43&lt;=1.5,4,IF(P43&lt;=2,3,IF(P43&lt;=3,2,1))))+IF(Q43&lt;=10,5,IF(Q43&lt;=15,4,IF(Q43&lt;=22,3,IF(Q43&lt;=30,2,1)))))/3,1),"")</f>
        <v>3.7</v>
      </c>
      <c r="AB43" s="15">
        <f t="shared" si="17"/>
        <v>2.5</v>
      </c>
      <c r="AC43" s="15">
        <f t="shared" ca="1" si="18"/>
        <v>5</v>
      </c>
      <c r="AD43" s="15">
        <f t="shared" si="19"/>
        <v>3.3</v>
      </c>
      <c r="AE43" s="16">
        <f ca="1">IFERROR(ROUND(Y43*Weights!$B$6+Z43*Weights!$B$7+AA43*Weights!$B$8+AB43*Weights!$B$9+AC43*Weights!$B$10+AD43*Weights!$B$11,2),"")</f>
        <v>2.57</v>
      </c>
      <c r="AF43" s="14" t="str">
        <f t="shared" ca="1" si="9"/>
        <v>Pass</v>
      </c>
      <c r="AG43" s="17" t="str">
        <f t="shared" ca="1" si="20"/>
        <v>Skip</v>
      </c>
    </row>
    <row r="44" spans="1:33" x14ac:dyDescent="0.25">
      <c r="A44" s="30" t="s">
        <v>165</v>
      </c>
      <c r="B44" s="31" t="str" cm="1">
        <f t="array" ref="B44">_xldudf_WISEPRICE(A44, "Name")</f>
        <v>Okta, Inc.</v>
      </c>
      <c r="C44" s="23" cm="1">
        <f t="array" ref="C44">_xldudf_WISE(A44, "ROE", $AI$4)</f>
        <v>9.0012858999999994E-3</v>
      </c>
      <c r="D44" s="23" cm="1">
        <f t="array" ref="D44">_xldudf_WISE(A44, "ROIC", $AI$4)</f>
        <v>5.9952037999999996E-3</v>
      </c>
      <c r="E44" s="24" cm="1">
        <f t="array" ref="E44">_xldudf_WISE(A44, "Operating Income", $AI$4)</f>
        <v>50000000</v>
      </c>
      <c r="F44" s="24" cm="1">
        <f t="array" ref="F44">_xldudf_WISE(A44, "Net Income",$AI$4)</f>
        <v>63000000</v>
      </c>
      <c r="G44" s="24" cm="1">
        <f t="array" ref="G44">_xldudf_WISE(A44, "Revenue", $AI$4)</f>
        <v>761000000</v>
      </c>
      <c r="H44" s="23">
        <f t="shared" si="10"/>
        <v>8.2785808147174775E-2</v>
      </c>
      <c r="I44" s="23">
        <f t="shared" si="11"/>
        <v>6.5703022339027597E-2</v>
      </c>
      <c r="J44" s="25" cm="1">
        <f t="array" ref="J44">_xldudf_WISE(A44, "Free Cash Flow", $AI$4)/F44</f>
        <v>4.5396825396825395</v>
      </c>
      <c r="K44" s="23" cm="1">
        <f t="array" ref="K44">_xldudf_WISE(A44, "Revenue Growth", $AI$4)</f>
        <v>2.5600000000000001E-2</v>
      </c>
      <c r="L44" s="23" cm="1">
        <f t="array" ref="L44">_xldudf_WISE(A44, "EPS Growth", $AI$4)</f>
        <v>0.5</v>
      </c>
      <c r="M44" s="23" cm="1">
        <f t="array" ref="M44">(_xldudf_WISE(A44,"Estimated EPS AVG",2027)-_xldudf_WISE(A44,"Estimated EPS AVG",2026))/_xldudf_WISE(A44,"Estimated EPS AVG",2026)</f>
        <v>0.10198171085961283</v>
      </c>
      <c r="N44" s="26" t="str" cm="1">
        <f t="array" ref="N44">IF(_xldudf_WISE(A44,"EPS","LQ-0")&gt;_xldudf_WISE(A44,"EPS","LQ-1"),"Y","N")</f>
        <v>Y</v>
      </c>
      <c r="O44" s="25" cm="1">
        <f t="array" ref="O44">_xldudf_WISE(A44, "PE Ratio", $AI$4)</f>
        <v>59.443413333300001</v>
      </c>
      <c r="P44" s="25">
        <f t="shared" si="12"/>
        <v>5.8288307611478798</v>
      </c>
      <c r="Q44" s="25" cm="1">
        <f t="array" ref="Q44">_xldudf_WISE(A44, "Enterprise Value Over EBITDA", $AI$4)</f>
        <v>213.8785317647</v>
      </c>
      <c r="R44" s="25" cm="1">
        <f t="array" ref="R44">_xldudf_WISE(A44, "Net Debt To EBITDA", $AI$4)</f>
        <v>-6.4117647058999996</v>
      </c>
      <c r="S44" s="25" cm="1">
        <f t="array" ref="S44">_xldudf_WISE(A44, "Current Ratio", $AI$4)</f>
        <v>1.3598277212000001</v>
      </c>
      <c r="T44" s="18" t="str" cm="1">
        <f t="array" ref="T44">_xldudf_WISEPRICE(A44,"Earnings Announcement")</f>
        <v>2026-05-28</v>
      </c>
      <c r="U44" s="19">
        <f t="shared" ca="1" si="13"/>
        <v>23</v>
      </c>
      <c r="V44" s="20">
        <v>40</v>
      </c>
      <c r="W44" s="21">
        <v>9000</v>
      </c>
      <c r="X44" s="22">
        <v>36.4</v>
      </c>
      <c r="Y44" s="15">
        <f t="shared" si="14"/>
        <v>2.4</v>
      </c>
      <c r="Z44" s="15">
        <f t="shared" si="15"/>
        <v>4</v>
      </c>
      <c r="AA44" s="15">
        <f t="shared" si="16"/>
        <v>1</v>
      </c>
      <c r="AB44" s="15">
        <f t="shared" si="17"/>
        <v>4</v>
      </c>
      <c r="AC44" s="15">
        <f t="shared" ca="1" si="18"/>
        <v>5</v>
      </c>
      <c r="AD44" s="15">
        <f t="shared" si="19"/>
        <v>3.3</v>
      </c>
      <c r="AE44" s="16">
        <f ca="1">IFERROR(ROUND(Y44*Weights!$B$6+Z44*Weights!$B$7+AA44*Weights!$B$8+AB44*Weights!$B$9+AC44*Weights!$B$10+AD44*Weights!$B$11,2),"")</f>
        <v>3.1</v>
      </c>
      <c r="AF44" s="14" t="str">
        <f t="shared" ca="1" si="9"/>
        <v>Hold/Watch</v>
      </c>
      <c r="AG44" s="17" t="str">
        <f t="shared" ca="1" si="20"/>
        <v>Quarter size or wait</v>
      </c>
    </row>
    <row r="45" spans="1:33" x14ac:dyDescent="0.25">
      <c r="A45" s="30" t="s">
        <v>139</v>
      </c>
      <c r="B45" s="31" t="str" cm="1">
        <f t="array" ref="B45">_xldudf_WISEPRICE(A45, "Name")</f>
        <v>Ultragenyx Pharmaceutical Inc.</v>
      </c>
      <c r="C45" s="23" cm="1">
        <f t="array" ref="C45">_xldudf_WISE(A45, "ROE", $AI$4)</f>
        <v>1.6125</v>
      </c>
      <c r="D45" s="23" cm="1">
        <f t="array" ref="D45">_xldudf_WISE(A45, "ROIC", $AI$4)</f>
        <v>-9.2758340100000003E-2</v>
      </c>
      <c r="E45" s="24" cm="1">
        <f t="array" ref="E45">_xldudf_WISE(A45, "Operating Income", $AI$4)</f>
        <v>-114000000</v>
      </c>
      <c r="F45" s="24" cm="1">
        <f t="array" ref="F45">_xldudf_WISE(A45, "Net Income",$AI$4)</f>
        <v>-129000000</v>
      </c>
      <c r="G45" s="24" cm="1">
        <f t="array" ref="G45">_xldudf_WISE(A45, "Revenue", $AI$4)</f>
        <v>207000000</v>
      </c>
      <c r="H45" s="23">
        <f t="shared" si="10"/>
        <v>-0.62318840579710144</v>
      </c>
      <c r="I45" s="23">
        <f t="shared" si="11"/>
        <v>-0.55072463768115942</v>
      </c>
      <c r="J45" s="25" cm="1">
        <f t="array" ref="J45">_xldudf_WISE(A45, "Free Cash Flow", $AI$4)/F45</f>
        <v>0.7811395348837209</v>
      </c>
      <c r="K45" s="23" cm="1">
        <f t="array" ref="K45">_xldudf_WISE(A45, "Revenue Growth", $AI$4)</f>
        <v>0.29430000000000001</v>
      </c>
      <c r="L45" s="23" cm="1">
        <f t="array" ref="L45">_xldudf_WISE(A45, "EPS Growth", $AI$4)</f>
        <v>0.2873</v>
      </c>
      <c r="M45" s="23" cm="1">
        <f t="array" ref="M45">(_xldudf_WISE(A45,"Estimated EPS AVG",2027)-_xldudf_WISE(A45,"Estimated EPS AVG",2026))/_xldudf_WISE(A45,"Estimated EPS AVG",2026)</f>
        <v>-0.87346021031722321</v>
      </c>
      <c r="N45" s="26" t="str" cm="1">
        <f t="array" ref="N45">IF(_xldudf_WISE(A45,"EPS","LQ-0")&gt;_xldudf_WISE(A45,"EPS","LQ-1"),"Y","N")</f>
        <v>Y</v>
      </c>
      <c r="O45" s="25" cm="1">
        <f t="array" ref="O45">_xldudf_WISE(A45, "PE Ratio", $AI$4)</f>
        <v>-4.4529069766999996</v>
      </c>
      <c r="P45" s="25">
        <f t="shared" si="12"/>
        <v>5.0980078131810873E-2</v>
      </c>
      <c r="Q45" s="25" cm="1">
        <f t="array" ref="Q45">_xldudf_WISE(A45, "Enterprise Value Over EBITDA", $AI$4)</f>
        <v>-29.840802167</v>
      </c>
      <c r="R45" s="25" cm="1">
        <f t="array" ref="R45">_xldudf_WISE(A45, "Net Debt To EBITDA", $AI$4)</f>
        <v>-8.0026612175</v>
      </c>
      <c r="S45" s="25" cm="1">
        <f t="array" ref="S45">_xldudf_WISE(A45, "Current Ratio", $AI$4)</f>
        <v>2.4765625</v>
      </c>
      <c r="T45" s="18" t="str" cm="1">
        <f t="array" ref="T45">_xldudf_WISEPRICE(A45,"Earnings Announcement")</f>
        <v>2026-05-05</v>
      </c>
      <c r="U45" s="19">
        <f t="shared" ca="1" si="13"/>
        <v>0</v>
      </c>
      <c r="V45" s="20">
        <v>40</v>
      </c>
      <c r="W45" s="21">
        <v>9000</v>
      </c>
      <c r="X45" s="22">
        <v>37.4</v>
      </c>
      <c r="Y45" s="15">
        <f t="shared" si="14"/>
        <v>2.2000000000000002</v>
      </c>
      <c r="Z45" s="15">
        <f t="shared" si="15"/>
        <v>4</v>
      </c>
      <c r="AA45" s="15">
        <f t="shared" si="16"/>
        <v>5</v>
      </c>
      <c r="AB45" s="15">
        <f t="shared" si="17"/>
        <v>5</v>
      </c>
      <c r="AC45" s="15">
        <f t="shared" ca="1" si="18"/>
        <v>3.5</v>
      </c>
      <c r="AD45" s="15">
        <f t="shared" si="19"/>
        <v>3.3</v>
      </c>
      <c r="AE45" s="16">
        <f ca="1">IFERROR(ROUND(Y45*Weights!$B$6+Z45*Weights!$B$7+AA45*Weights!$B$8+AB45*Weights!$B$9+AC45*Weights!$B$10+AD45*Weights!$B$11,2),"")</f>
        <v>3.9</v>
      </c>
      <c r="AF45" s="14" t="str">
        <f t="shared" ca="1" si="9"/>
        <v>Buy</v>
      </c>
      <c r="AG45" s="17" t="str">
        <f t="shared" ca="1" si="20"/>
        <v>Half size — ITM call preferred</v>
      </c>
    </row>
    <row r="46" spans="1:33" x14ac:dyDescent="0.25">
      <c r="A46" s="30" t="s">
        <v>121</v>
      </c>
      <c r="B46" s="31" t="str" cm="1">
        <f t="array" ref="B46">_xldudf_WISEPRICE(A46, "Name")</f>
        <v>Sprouts Farmers Market, Inc.</v>
      </c>
      <c r="C46" s="23" cm="1">
        <f t="array" ref="C46">_xldudf_WISE(A46, "ROE", $AI$4)</f>
        <v>0.1141538376</v>
      </c>
      <c r="D46" s="23" cm="1">
        <f t="array" ref="D46">_xldudf_WISE(A46, "ROIC", $AI$4)</f>
        <v>4.5450567800000001E-2</v>
      </c>
      <c r="E46" s="24" cm="1">
        <f t="array" ref="E46">_xldudf_WISE(A46, "Operating Income", $AI$4)</f>
        <v>216468000</v>
      </c>
      <c r="F46" s="24" cm="1">
        <f t="array" ref="F46">_xldudf_WISE(A46, "Net Income",$AI$4)</f>
        <v>163724000</v>
      </c>
      <c r="G46" s="24" cm="1">
        <f t="array" ref="G46">_xldudf_WISE(A46, "Revenue", $AI$4)</f>
        <v>2329179000</v>
      </c>
      <c r="H46" s="23">
        <f t="shared" si="10"/>
        <v>7.0292579488308971E-2</v>
      </c>
      <c r="I46" s="23">
        <f t="shared" si="11"/>
        <v>9.2937468524316932E-2</v>
      </c>
      <c r="J46" s="25" cm="1">
        <f t="array" ref="J46">_xldudf_WISE(A46, "Free Cash Flow", $AI$4)/F46</f>
        <v>0.81928122938603987</v>
      </c>
      <c r="K46" s="23" cm="1">
        <f t="array" ref="K46">_xldudf_WISE(A46, "Revenue Growth", $AI$4)</f>
        <v>8.4000000000000005E-2</v>
      </c>
      <c r="L46" s="23" cm="1">
        <f t="array" ref="L46">_xldudf_WISE(A46, "EPS Growth", $AI$4)</f>
        <v>0.86019999999999996</v>
      </c>
      <c r="M46" s="23" cm="1">
        <f t="array" ref="M46">(_xldudf_WISE(A46,"Estimated EPS AVG",2027)-_xldudf_WISE(A46,"Estimated EPS AVG",2026))/_xldudf_WISE(A46,"Estimated EPS AVG",2026)</f>
        <v>6.328364952745695E-2</v>
      </c>
      <c r="N46" s="26" t="str" cm="1">
        <f t="array" ref="N46">IF(_xldudf_WISE(A46,"EPS","LQ-0")&gt;_xldudf_WISE(A46,"EPS","LQ-1"),"Y","N")</f>
        <v>Y</v>
      </c>
      <c r="O46" s="25" cm="1">
        <f t="array" ref="O46">_xldudf_WISE(A46, "PE Ratio", $AI$4)</f>
        <v>11.1853674171</v>
      </c>
      <c r="P46" s="25">
        <f t="shared" si="12"/>
        <v>1.7674972130434721</v>
      </c>
      <c r="Q46" s="25" cm="1">
        <f t="array" ref="Q46">_xldudf_WISE(A46, "Enterprise Value Over EBITDA", $AI$4)</f>
        <v>30.5134207027</v>
      </c>
      <c r="R46" s="25" cm="1">
        <f t="array" ref="R46">_xldudf_WISE(A46, "Net Debt To EBITDA", $AI$4)</f>
        <v>6.0422393116000004</v>
      </c>
      <c r="S46" s="25" cm="1">
        <f t="array" ref="S46">_xldudf_WISE(A46, "Current Ratio", $AI$4)</f>
        <v>0.92181408880000004</v>
      </c>
      <c r="T46" s="18" t="str" cm="1">
        <f t="array" ref="T46">_xldudf_WISEPRICE(A46,"Earnings Announcement")</f>
        <v>2026-07-29</v>
      </c>
      <c r="U46" s="19">
        <f t="shared" ca="1" si="13"/>
        <v>85</v>
      </c>
      <c r="V46" s="20">
        <v>40</v>
      </c>
      <c r="W46" s="21">
        <v>9000</v>
      </c>
      <c r="X46" s="22">
        <v>38.4</v>
      </c>
      <c r="Y46" s="15">
        <f t="shared" si="14"/>
        <v>2.6</v>
      </c>
      <c r="Z46" s="15">
        <f t="shared" si="15"/>
        <v>4</v>
      </c>
      <c r="AA46" s="15">
        <f t="shared" si="16"/>
        <v>3</v>
      </c>
      <c r="AB46" s="15">
        <f t="shared" si="17"/>
        <v>1.5</v>
      </c>
      <c r="AC46" s="15">
        <f t="shared" ca="1" si="18"/>
        <v>5</v>
      </c>
      <c r="AD46" s="15">
        <f t="shared" si="19"/>
        <v>3.3</v>
      </c>
      <c r="AE46" s="16">
        <f ca="1">IFERROR(ROUND(Y46*Weights!$B$6+Z46*Weights!$B$7+AA46*Weights!$B$8+AB46*Weights!$B$9+AC46*Weights!$B$10+AD46*Weights!$B$11,2),"")</f>
        <v>3.05</v>
      </c>
      <c r="AF46" s="14" t="str">
        <f t="shared" ca="1" si="9"/>
        <v>Hold/Watch</v>
      </c>
      <c r="AG46" s="17" t="str">
        <f t="shared" ca="1" si="20"/>
        <v>Quarter size or wait</v>
      </c>
    </row>
    <row r="47" spans="1:33" x14ac:dyDescent="0.25">
      <c r="A47" s="30" t="s">
        <v>115</v>
      </c>
      <c r="B47" s="31" t="str" cm="1">
        <f t="array" ref="B47">_xldudf_WISEPRICE(A47, "Name")</f>
        <v>Blackstone Secured Lending Fund</v>
      </c>
      <c r="C47" s="23" cm="1">
        <f t="array" ref="C47">_xldudf_WISE(A47, "ROE", $AI$4)</f>
        <v>2.0202316200000001E-2</v>
      </c>
      <c r="D47" s="23" cm="1">
        <f t="array" ref="D47">_xldudf_WISE(A47, "ROIC", $AI$4)</f>
        <v>1.59561402E-2</v>
      </c>
      <c r="E47" s="24" cm="1">
        <f t="array" ref="E47">_xldudf_WISE(A47, "Operating Income", $AI$4)</f>
        <v>228908000</v>
      </c>
      <c r="F47" s="24" cm="1">
        <f t="array" ref="F47">_xldudf_WISE(A47, "Net Income",$AI$4)</f>
        <v>126167000</v>
      </c>
      <c r="G47" s="24" cm="1">
        <f t="array" ref="G47">_xldudf_WISE(A47, "Revenue", $AI$4)</f>
        <v>217359000</v>
      </c>
      <c r="H47" s="23">
        <f t="shared" si="10"/>
        <v>0.58045445553209207</v>
      </c>
      <c r="I47" s="23">
        <f t="shared" si="11"/>
        <v>1.0531332956077273</v>
      </c>
      <c r="J47" s="25" cm="1">
        <f t="array" ref="J47">_xldudf_WISE(A47, "Free Cash Flow", $AI$4)/F47</f>
        <v>-1.8203175156736706</v>
      </c>
      <c r="K47" s="23" cm="1">
        <f t="array" ref="K47">_xldudf_WISE(A47, "Revenue Growth", $AI$4)</f>
        <v>-7.51E-2</v>
      </c>
      <c r="L47" s="23" cm="1">
        <f t="array" ref="L47">_xldudf_WISE(A47, "EPS Growth", $AI$4)</f>
        <v>-3.5099999999999999E-2</v>
      </c>
      <c r="M47" s="23" cm="1">
        <f t="array" ref="M47">(_xldudf_WISE(A47,"Estimated EPS AVG",2027)-_xldudf_WISE(A47,"Estimated EPS AVG",2026))/_xldudf_WISE(A47,"Estimated EPS AVG",2026)</f>
        <v>-5.2222226073333586E-2</v>
      </c>
      <c r="N47" s="26" t="str" cm="1">
        <f t="array" ref="N47">IF(_xldudf_WISE(A47,"EPS","LQ-0")&gt;_xldudf_WISE(A47,"EPS","LQ-1"),"Y","N")</f>
        <v>N</v>
      </c>
      <c r="O47" s="25" cm="1">
        <f t="array" ref="O47">_xldudf_WISE(A47, "PE Ratio", $AI$4)</f>
        <v>11.956050705099999</v>
      </c>
      <c r="P47" s="25">
        <f t="shared" si="12"/>
        <v>-2.2894563491626334</v>
      </c>
      <c r="Q47" s="25" cm="1">
        <f t="array" ref="Q47">_xldudf_WISE(A47, "Enterprise Value Over EBITDA", $AI$4)</f>
        <v>60.100165189599998</v>
      </c>
      <c r="R47" s="25" cm="1">
        <f t="array" ref="R47">_xldudf_WISE(A47, "Net Debt To EBITDA", $AI$4)</f>
        <v>33.8686038727</v>
      </c>
      <c r="S47" s="25" cm="1">
        <f t="array" ref="S47">_xldudf_WISE(A47, "Current Ratio", $AI$4)</f>
        <v>1.2736035981</v>
      </c>
      <c r="T47" s="18" t="str" cm="1">
        <f t="array" ref="T47">_xldudf_WISEPRICE(A47,"Earnings Announcement")</f>
        <v>2026-05-07</v>
      </c>
      <c r="U47" s="19">
        <f t="shared" ca="1" si="13"/>
        <v>2</v>
      </c>
      <c r="V47" s="20">
        <v>40</v>
      </c>
      <c r="W47" s="21">
        <v>9000</v>
      </c>
      <c r="X47" s="22">
        <v>39.4</v>
      </c>
      <c r="Y47" s="15">
        <f t="shared" si="14"/>
        <v>2.6</v>
      </c>
      <c r="Z47" s="15">
        <f t="shared" si="15"/>
        <v>1.3</v>
      </c>
      <c r="AA47" s="15">
        <f t="shared" si="16"/>
        <v>3.7</v>
      </c>
      <c r="AB47" s="15">
        <f t="shared" si="17"/>
        <v>2</v>
      </c>
      <c r="AC47" s="15">
        <f t="shared" ca="1" si="18"/>
        <v>4</v>
      </c>
      <c r="AD47" s="15">
        <f t="shared" si="19"/>
        <v>3.3</v>
      </c>
      <c r="AE47" s="16">
        <f ca="1">IFERROR(ROUND(Y47*Weights!$B$6+Z47*Weights!$B$7+AA47*Weights!$B$8+AB47*Weights!$B$9+AC47*Weights!$B$10+AD47*Weights!$B$11,2),"")</f>
        <v>2.52</v>
      </c>
      <c r="AF47" s="14" t="str">
        <f t="shared" ca="1" si="9"/>
        <v>Pass</v>
      </c>
      <c r="AG47" s="17" t="str">
        <f t="shared" ca="1" si="20"/>
        <v>Skip</v>
      </c>
    </row>
    <row r="48" spans="1:33" x14ac:dyDescent="0.25">
      <c r="A48" s="30" t="s">
        <v>112</v>
      </c>
      <c r="B48" s="31" t="str" cm="1">
        <f t="array" ref="B48">_xldudf_WISEPRICE(A48, "Name")</f>
        <v>GoDaddy Inc.</v>
      </c>
      <c r="C48" s="23" cm="1">
        <f t="array" ref="C48">_xldudf_WISE(A48, "ROE", $AI$4)</f>
        <v>0.90434049729999999</v>
      </c>
      <c r="D48" s="23" cm="1">
        <f t="array" ref="D48">_xldudf_WISE(A48, "ROIC", $AI$4)</f>
        <v>4.6571760400000002E-2</v>
      </c>
      <c r="E48" s="24" cm="1">
        <f t="array" ref="E48">_xldudf_WISE(A48, "Operating Income", $AI$4)</f>
        <v>312700000</v>
      </c>
      <c r="F48" s="24" cm="1">
        <f t="array" ref="F48">_xldudf_WISE(A48, "Net Income",$AI$4)</f>
        <v>214600000</v>
      </c>
      <c r="G48" s="24" cm="1">
        <f t="array" ref="G48">_xldudf_WISE(A48, "Revenue", $AI$4)</f>
        <v>1266900000</v>
      </c>
      <c r="H48" s="23">
        <f t="shared" si="10"/>
        <v>0.1693898492382982</v>
      </c>
      <c r="I48" s="23">
        <f t="shared" si="11"/>
        <v>0.24682295366642987</v>
      </c>
      <c r="J48" s="25" cm="1">
        <f t="array" ref="J48">_xldudf_WISE(A48, "Free Cash Flow", $AI$4)/F48</f>
        <v>2.1756756756756759</v>
      </c>
      <c r="K48" s="23" cm="1">
        <f t="array" ref="K48">_xldudf_WISE(A48, "Revenue Growth", $AI$4)</f>
        <v>-5.4999999999999997E-3</v>
      </c>
      <c r="L48" s="23" cm="1">
        <f t="array" ref="L48">_xldudf_WISE(A48, "EPS Growth", $AI$4)</f>
        <v>-0.1105</v>
      </c>
      <c r="M48" s="23" cm="1">
        <f t="array" ref="M48">(_xldudf_WISE(A48,"Estimated EPS AVG",2027)-_xldudf_WISE(A48,"Estimated EPS AVG",2026))/_xldudf_WISE(A48,"Estimated EPS AVG",2026)</f>
        <v>0.2691306848920082</v>
      </c>
      <c r="N48" s="26" t="str" cm="1">
        <f t="array" ref="N48">IF(_xldudf_WISE(A48,"EPS","LQ-0")&gt;_xldudf_WISE(A48,"EPS","LQ-1"),"Y","N")</f>
        <v>N</v>
      </c>
      <c r="O48" s="25" cm="1">
        <f t="array" ref="O48">_xldudf_WISE(A48, "PE Ratio", $AI$4)</f>
        <v>12.869130265600001</v>
      </c>
      <c r="P48" s="25">
        <f t="shared" si="12"/>
        <v>0.47817402429469857</v>
      </c>
      <c r="Q48" s="25" cm="1">
        <f t="array" ref="Q48">_xldudf_WISE(A48, "Enterprise Value Over EBITDA", $AI$4)</f>
        <v>40.466789611199999</v>
      </c>
      <c r="R48" s="25" cm="1">
        <f t="array" ref="R48">_xldudf_WISE(A48, "Net Debt To EBITDA", $AI$4)</f>
        <v>7.6770555061000003</v>
      </c>
      <c r="S48" s="25" cm="1">
        <f t="array" ref="S48">_xldudf_WISE(A48, "Current Ratio", $AI$4)</f>
        <v>0.67142997289999995</v>
      </c>
      <c r="T48" s="18" t="str" cm="1">
        <f t="array" ref="T48">_xldudf_WISEPRICE(A48,"Earnings Announcement")</f>
        <v>2026-08-05</v>
      </c>
      <c r="U48" s="19">
        <f t="shared" ca="1" si="13"/>
        <v>92</v>
      </c>
      <c r="V48" s="20">
        <v>40</v>
      </c>
      <c r="W48" s="21">
        <v>9000</v>
      </c>
      <c r="X48" s="22">
        <v>40.4</v>
      </c>
      <c r="Y48" s="15">
        <f t="shared" si="14"/>
        <v>3.8</v>
      </c>
      <c r="Z48" s="15">
        <f t="shared" si="15"/>
        <v>2.2999999999999998</v>
      </c>
      <c r="AA48" s="15">
        <f t="shared" si="16"/>
        <v>3.7</v>
      </c>
      <c r="AB48" s="15">
        <f t="shared" si="17"/>
        <v>1</v>
      </c>
      <c r="AC48" s="15">
        <f t="shared" ca="1" si="18"/>
        <v>5</v>
      </c>
      <c r="AD48" s="15">
        <f t="shared" si="19"/>
        <v>3.3</v>
      </c>
      <c r="AE48" s="16">
        <f ca="1">IFERROR(ROUND(Y48*Weights!$B$6+Z48*Weights!$B$7+AA48*Weights!$B$8+AB48*Weights!$B$9+AC48*Weights!$B$10+AD48*Weights!$B$11,2),"")</f>
        <v>2.97</v>
      </c>
      <c r="AF48" s="14" t="str">
        <f t="shared" ca="1" si="9"/>
        <v>Pass</v>
      </c>
      <c r="AG48" s="17" t="str">
        <f t="shared" ca="1" si="20"/>
        <v>Skip</v>
      </c>
    </row>
    <row r="49" spans="1:33" x14ac:dyDescent="0.25">
      <c r="A49" s="30" t="s">
        <v>130</v>
      </c>
      <c r="B49" s="31" t="str" cm="1">
        <f t="array" ref="B49">_xldudf_WISEPRICE(A49, "Name")</f>
        <v>Box, Inc.</v>
      </c>
      <c r="C49" s="23" cm="1">
        <f t="array" ref="C49">_xldudf_WISE(A49, "ROE", $AI$4)</f>
        <v>-0.2288507675</v>
      </c>
      <c r="D49" s="23" cm="1">
        <f t="array" ref="D49">_xldudf_WISE(A49, "ROIC", $AI$4)</f>
        <v>4.1983177199999999E-2</v>
      </c>
      <c r="E49" s="24" cm="1">
        <f t="array" ref="E49">_xldudf_WISE(A49, "Operating Income", $AI$4)</f>
        <v>31210000</v>
      </c>
      <c r="F49" s="24" cm="1">
        <f t="array" ref="F49">_xldudf_WISE(A49, "Net Income",$AI$4)</f>
        <v>68490000</v>
      </c>
      <c r="G49" s="24" cm="1">
        <f t="array" ref="G49">_xldudf_WISE(A49, "Revenue", $AI$4)</f>
        <v>305875000</v>
      </c>
      <c r="H49" s="23">
        <f t="shared" si="10"/>
        <v>0.22391499795668166</v>
      </c>
      <c r="I49" s="23">
        <f t="shared" si="11"/>
        <v>0.10203514507560278</v>
      </c>
      <c r="J49" s="25" cm="1">
        <f t="array" ref="J49">_xldudf_WISE(A49, "Free Cash Flow", $AI$4)/F49</f>
        <v>1.5836034457585049</v>
      </c>
      <c r="K49" s="23" cm="1">
        <f t="array" ref="K49">_xldudf_WISE(A49, "Revenue Growth", $AI$4)</f>
        <v>1.5800000000000002E-2</v>
      </c>
      <c r="L49" s="23" cm="1">
        <f t="array" ref="L49">_xldudf_WISE(A49, "EPS Growth", $AI$4)</f>
        <v>9.0418000000000003</v>
      </c>
      <c r="M49" s="23" cm="1">
        <f t="array" ref="M49">(_xldudf_WISE(A49,"Estimated EPS AVG",2027)-_xldudf_WISE(A49,"Estimated EPS AVG",2026))/_xldudf_WISE(A49,"Estimated EPS AVG",2026)</f>
        <v>0.22314415569280971</v>
      </c>
      <c r="N49" s="26" t="str" cm="1">
        <f t="array" ref="N49">IF(_xldudf_WISE(A49,"EPS","LQ-0")&gt;_xldudf_WISE(A49,"EPS","LQ-1"),"Y","N")</f>
        <v>Y</v>
      </c>
      <c r="O49" s="25" cm="1">
        <f t="array" ref="O49">_xldudf_WISE(A49, "PE Ratio", $AI$4)</f>
        <v>13.2389810556</v>
      </c>
      <c r="P49" s="25">
        <f t="shared" si="12"/>
        <v>0.593292753489156</v>
      </c>
      <c r="Q49" s="25" cm="1">
        <f t="array" ref="Q49">_xldudf_WISE(A49, "Enterprise Value Over EBITDA", $AI$4)</f>
        <v>95.642546410199998</v>
      </c>
      <c r="R49" s="25" cm="1">
        <f t="array" ref="R49">_xldudf_WISE(A49, "Net Debt To EBITDA", $AI$4)</f>
        <v>14.520845448399999</v>
      </c>
      <c r="S49" s="25" cm="1">
        <f t="array" ref="S49">_xldudf_WISE(A49, "Current Ratio", $AI$4)</f>
        <v>1.0529534664</v>
      </c>
      <c r="T49" s="18" t="str" cm="1">
        <f t="array" ref="T49">_xldudf_WISEPRICE(A49,"Earnings Announcement")</f>
        <v>2026-05-26</v>
      </c>
      <c r="U49" s="19">
        <f t="shared" ca="1" si="13"/>
        <v>21</v>
      </c>
      <c r="V49" s="20">
        <v>40</v>
      </c>
      <c r="W49" s="21">
        <v>9000</v>
      </c>
      <c r="X49" s="22">
        <v>41.4</v>
      </c>
      <c r="Y49" s="15">
        <f t="shared" si="14"/>
        <v>3</v>
      </c>
      <c r="Z49" s="15">
        <f t="shared" si="15"/>
        <v>4.3</v>
      </c>
      <c r="AA49" s="15">
        <f t="shared" si="16"/>
        <v>3.7</v>
      </c>
      <c r="AB49" s="15">
        <f t="shared" si="17"/>
        <v>2</v>
      </c>
      <c r="AC49" s="15">
        <f t="shared" ca="1" si="18"/>
        <v>5</v>
      </c>
      <c r="AD49" s="15">
        <f t="shared" si="19"/>
        <v>3.3</v>
      </c>
      <c r="AE49" s="16">
        <f ca="1">IFERROR(ROUND(Y49*Weights!$B$6+Z49*Weights!$B$7+AA49*Weights!$B$8+AB49*Weights!$B$9+AC49*Weights!$B$10+AD49*Weights!$B$11,2),"")</f>
        <v>3.47</v>
      </c>
      <c r="AF49" s="14" t="str">
        <f t="shared" ca="1" si="9"/>
        <v>Hold/Watch</v>
      </c>
      <c r="AG49" s="17" t="str">
        <f t="shared" ca="1" si="20"/>
        <v>Quarter size or wait</v>
      </c>
    </row>
    <row r="50" spans="1:33" x14ac:dyDescent="0.25">
      <c r="A50" s="30" t="s">
        <v>129</v>
      </c>
      <c r="B50" s="31" t="str" cm="1">
        <f t="array" ref="B50">_xldudf_WISEPRICE(A50, "Name")</f>
        <v>Trimble Inc.</v>
      </c>
      <c r="C50" s="23" cm="1">
        <f t="array" ref="C50">_xldudf_WISE(A50, "ROE", $AI$4)</f>
        <v>2.6832528000000001E-2</v>
      </c>
      <c r="D50" s="23" cm="1">
        <f t="array" ref="D50">_xldudf_WISE(A50, "ROIC", $AI$4)</f>
        <v>2.3487812699999999E-2</v>
      </c>
      <c r="E50" s="24" cm="1">
        <f t="array" ref="E50">_xldudf_WISE(A50, "Operating Income", $AI$4)</f>
        <v>216200000</v>
      </c>
      <c r="F50" s="24" cm="1">
        <f t="array" ref="F50">_xldudf_WISE(A50, "Net Income",$AI$4)</f>
        <v>156600000</v>
      </c>
      <c r="G50" s="24" cm="1">
        <f t="array" ref="G50">_xldudf_WISE(A50, "Revenue", $AI$4)</f>
        <v>969800000</v>
      </c>
      <c r="H50" s="23">
        <f t="shared" si="10"/>
        <v>0.16147659311198184</v>
      </c>
      <c r="I50" s="23">
        <f t="shared" si="11"/>
        <v>0.22293256341513715</v>
      </c>
      <c r="J50" s="25" cm="1">
        <f t="array" ref="J50">_xldudf_WISE(A50, "Free Cash Flow", $AI$4)/F50</f>
        <v>-0.4661558109833972</v>
      </c>
      <c r="K50" s="23" cm="1">
        <f t="array" ref="K50">_xldudf_WISE(A50, "Revenue Growth", $AI$4)</f>
        <v>7.6100000000000001E-2</v>
      </c>
      <c r="L50" s="23" cm="1">
        <f t="array" ref="L50">_xldudf_WISE(A50, "EPS Growth", $AI$4)</f>
        <v>0.40429999999999999</v>
      </c>
      <c r="M50" s="23" cm="1">
        <f t="array" ref="M50">(_xldudf_WISE(A50,"Estimated EPS AVG",2027)-_xldudf_WISE(A50,"Estimated EPS AVG",2026))/_xldudf_WISE(A50,"Estimated EPS AVG",2026)</f>
        <v>0.14758310063322463</v>
      </c>
      <c r="N50" s="26" t="str" cm="1">
        <f t="array" ref="N50">IF(_xldudf_WISE(A50,"EPS","LQ-0")&gt;_xldudf_WISE(A50,"EPS","LQ-1"),"Y","N")</f>
        <v>Y</v>
      </c>
      <c r="O50" s="25" cm="1">
        <f t="array" ref="O50">_xldudf_WISE(A50, "PE Ratio", $AI$4)</f>
        <v>29.686369731799999</v>
      </c>
      <c r="P50" s="25">
        <f t="shared" si="12"/>
        <v>2.0115019676661312</v>
      </c>
      <c r="Q50" s="25" cm="1">
        <f t="array" ref="Q50">_xldudf_WISE(A50, "Enterprise Value Over EBITDA", $AI$4)</f>
        <v>84.370850790899993</v>
      </c>
      <c r="R50" s="25" cm="1">
        <f t="array" ref="R50">_xldudf_WISE(A50, "Net Debt To EBITDA", $AI$4)</f>
        <v>4.8687473279000004</v>
      </c>
      <c r="S50" s="25" cm="1">
        <f t="array" ref="S50">_xldudf_WISE(A50, "Current Ratio", $AI$4)</f>
        <v>1.0854729279999999</v>
      </c>
      <c r="T50" s="18" t="str" cm="1">
        <f t="array" ref="T50">_xldudf_WISEPRICE(A50,"Earnings Announcement")</f>
        <v>2026-05-06</v>
      </c>
      <c r="U50" s="19">
        <f t="shared" ca="1" si="13"/>
        <v>1</v>
      </c>
      <c r="V50" s="20">
        <v>40</v>
      </c>
      <c r="W50" s="21">
        <v>9000</v>
      </c>
      <c r="X50" s="22">
        <v>42.4</v>
      </c>
      <c r="Y50" s="15">
        <f t="shared" si="14"/>
        <v>2.2000000000000002</v>
      </c>
      <c r="Z50" s="15">
        <f t="shared" si="15"/>
        <v>4.3</v>
      </c>
      <c r="AA50" s="15">
        <f t="shared" si="16"/>
        <v>1.7</v>
      </c>
      <c r="AB50" s="15">
        <f t="shared" si="17"/>
        <v>2</v>
      </c>
      <c r="AC50" s="15">
        <f t="shared" ca="1" si="18"/>
        <v>4</v>
      </c>
      <c r="AD50" s="15">
        <f t="shared" si="19"/>
        <v>3.3</v>
      </c>
      <c r="AE50" s="16">
        <f ca="1">IFERROR(ROUND(Y50*Weights!$B$6+Z50*Weights!$B$7+AA50*Weights!$B$8+AB50*Weights!$B$9+AC50*Weights!$B$10+AD50*Weights!$B$11,2),"")</f>
        <v>2.77</v>
      </c>
      <c r="AF50" s="14" t="str">
        <f t="shared" ca="1" si="9"/>
        <v>Pass</v>
      </c>
      <c r="AG50" s="17" t="str">
        <f t="shared" ca="1" si="20"/>
        <v>Skip</v>
      </c>
    </row>
    <row r="51" spans="1:33" x14ac:dyDescent="0.25">
      <c r="A51" s="30" t="s">
        <v>134</v>
      </c>
      <c r="B51" s="31" t="str" cm="1">
        <f t="array" ref="B51">_xldudf_WISEPRICE(A51, "Name")</f>
        <v>Bill.com Holdings, Inc.</v>
      </c>
      <c r="C51" s="23" cm="1">
        <f t="array" ref="C51">_xldudf_WISE(A51, "ROE", $AI$4)</f>
        <v>-6.7983449999999999E-4</v>
      </c>
      <c r="D51" s="23" cm="1">
        <f t="array" ref="D51">_xldudf_WISE(A51, "ROIC", $AI$4)</f>
        <v>-3.173347E-3</v>
      </c>
      <c r="E51" s="24" cm="1">
        <f t="array" ref="E51">_xldudf_WISE(A51, "Operating Income", $AI$4)</f>
        <v>-18076000</v>
      </c>
      <c r="F51" s="24" cm="1">
        <f t="array" ref="F51">_xldudf_WISE(A51, "Net Income",$AI$4)</f>
        <v>-2588000</v>
      </c>
      <c r="G51" s="24" cm="1">
        <f t="array" ref="G51">_xldudf_WISE(A51, "Revenue", $AI$4)</f>
        <v>414671000</v>
      </c>
      <c r="H51" s="23">
        <f t="shared" si="10"/>
        <v>-6.2410923358517962E-3</v>
      </c>
      <c r="I51" s="23">
        <f t="shared" si="11"/>
        <v>-4.3591184336498091E-2</v>
      </c>
      <c r="J51" s="25" cm="1">
        <f t="array" ref="J51">_xldudf_WISE(A51, "Free Cash Flow", $AI$4)/F51</f>
        <v>-40.117851622874809</v>
      </c>
      <c r="K51" s="23" cm="1">
        <f t="array" ref="K51">_xldudf_WISE(A51, "Revenue Growth", $AI$4)</f>
        <v>4.7800000000000002E-2</v>
      </c>
      <c r="L51" s="23" cm="1">
        <f t="array" ref="L51">_xldudf_WISE(A51, "EPS Growth", $AI$4)</f>
        <v>0.1168</v>
      </c>
      <c r="M51" s="23" cm="1">
        <f t="array" ref="M51">(_xldudf_WISE(A51,"Estimated EPS AVG",2027)-_xldudf_WISE(A51,"Estimated EPS AVG",2026))/_xldudf_WISE(A51,"Estimated EPS AVG",2026)</f>
        <v>0.13511751257048035</v>
      </c>
      <c r="N51" s="26" t="str" cm="1">
        <f t="array" ref="N51">IF(_xldudf_WISE(A51,"EPS","LQ-0")&gt;_xldudf_WISE(A51,"EPS","LQ-1"),"Y","N")</f>
        <v>N</v>
      </c>
      <c r="O51" s="25" cm="1">
        <f t="array" ref="O51">_xldudf_WISE(A51, "PE Ratio", $AI$4)</f>
        <v>-533.31922140649999</v>
      </c>
      <c r="P51" s="25">
        <f t="shared" si="12"/>
        <v>-39.470769647887693</v>
      </c>
      <c r="Q51" s="25" cm="1">
        <f t="array" ref="Q51">_xldudf_WISE(A51, "Enterprise Value Over EBITDA", $AI$4)</f>
        <v>162.53800182320001</v>
      </c>
      <c r="R51" s="25" cm="1">
        <f t="array" ref="R51">_xldudf_WISE(A51, "Net Debt To EBITDA", $AI$4)</f>
        <v>18.745305378299999</v>
      </c>
      <c r="S51" s="25" cm="1">
        <f t="array" ref="S51">_xldudf_WISE(A51, "Current Ratio", $AI$4)</f>
        <v>1.6535065819999999</v>
      </c>
      <c r="T51" s="18" t="str" cm="1">
        <f t="array" ref="T51">_xldudf_WISEPRICE(A51,"Earnings Announcement")</f>
        <v>2026-05-07</v>
      </c>
      <c r="U51" s="19">
        <f t="shared" ca="1" si="13"/>
        <v>2</v>
      </c>
      <c r="V51" s="20">
        <v>40</v>
      </c>
      <c r="W51" s="21">
        <v>9000</v>
      </c>
      <c r="X51" s="22">
        <v>43.4</v>
      </c>
      <c r="Y51" s="15">
        <f t="shared" si="14"/>
        <v>1</v>
      </c>
      <c r="Z51" s="15">
        <f t="shared" si="15"/>
        <v>2.8</v>
      </c>
      <c r="AA51" s="15">
        <f t="shared" si="16"/>
        <v>3.7</v>
      </c>
      <c r="AB51" s="15">
        <f t="shared" si="17"/>
        <v>2.5</v>
      </c>
      <c r="AC51" s="15">
        <f t="shared" ca="1" si="18"/>
        <v>4</v>
      </c>
      <c r="AD51" s="15">
        <f t="shared" si="19"/>
        <v>3.3</v>
      </c>
      <c r="AE51" s="16">
        <f ca="1">IFERROR(ROUND(Y51*Weights!$B$6+Z51*Weights!$B$7+AA51*Weights!$B$8+AB51*Weights!$B$9+AC51*Weights!$B$10+AD51*Weights!$B$11,2),"")</f>
        <v>2.59</v>
      </c>
      <c r="AF51" s="14" t="str">
        <f t="shared" ca="1" si="9"/>
        <v>Pass</v>
      </c>
      <c r="AG51" s="17" t="str">
        <f t="shared" ca="1" si="20"/>
        <v>Skip</v>
      </c>
    </row>
    <row r="52" spans="1:33" x14ac:dyDescent="0.25">
      <c r="A52" s="30" t="s">
        <v>166</v>
      </c>
      <c r="B52" s="31" t="str" cm="1">
        <f t="array" ref="B52">_xldudf_WISEPRICE(A52, "Name")</f>
        <v>BJ's Wholesale Club Holdings, Inc.</v>
      </c>
      <c r="C52" s="23" cm="1">
        <f t="array" ref="C52">_xldudf_WISE(A52, "ROE", $AI$4)</f>
        <v>5.7267301299999997E-2</v>
      </c>
      <c r="D52" s="23" cm="1">
        <f t="array" ref="D52">_xldudf_WISE(A52, "ROIC", $AI$4)</f>
        <v>2.7824979100000001E-2</v>
      </c>
      <c r="E52" s="24" cm="1">
        <f t="array" ref="E52">_xldudf_WISE(A52, "Operating Income", $AI$4)</f>
        <v>191423000</v>
      </c>
      <c r="F52" s="24" cm="1">
        <f t="array" ref="F52">_xldudf_WISE(A52, "Net Income",$AI$4)</f>
        <v>125854000</v>
      </c>
      <c r="G52" s="24" cm="1">
        <f t="array" ref="G52">_xldudf_WISE(A52, "Revenue", $AI$4)</f>
        <v>5575388000</v>
      </c>
      <c r="H52" s="23">
        <f t="shared" si="10"/>
        <v>2.2573137510788488E-2</v>
      </c>
      <c r="I52" s="23">
        <f t="shared" si="11"/>
        <v>3.4333574631935933E-2</v>
      </c>
      <c r="J52" s="25" cm="1">
        <f t="array" ref="J52">_xldudf_WISE(A52, "Free Cash Flow", $AI$4)/F52</f>
        <v>1.5323311138303113</v>
      </c>
      <c r="K52" s="23" cm="1">
        <f t="array" ref="K52">_xldudf_WISE(A52, "Revenue Growth", $AI$4)</f>
        <v>4.2500000000000003E-2</v>
      </c>
      <c r="L52" s="23" cm="1">
        <f t="array" ref="L52">_xldudf_WISE(A52, "EPS Growth", $AI$4)</f>
        <v>-0.1638</v>
      </c>
      <c r="M52" s="23" cm="1">
        <f t="array" ref="M52">(_xldudf_WISE(A52,"Estimated EPS AVG",2027)-_xldudf_WISE(A52,"Estimated EPS AVG",2026))/_xldudf_WISE(A52,"Estimated EPS AVG",2026)</f>
        <v>3.5124066269404355E-2</v>
      </c>
      <c r="N52" s="26" t="str" cm="1">
        <f t="array" ref="N52">IF(_xldudf_WISE(A52,"EPS","LQ-0")&gt;_xldudf_WISE(A52,"EPS","LQ-1"),"Y","N")</f>
        <v>N</v>
      </c>
      <c r="O52" s="25" cm="1">
        <f t="array" ref="O52">_xldudf_WISE(A52, "PE Ratio", $AI$4)</f>
        <v>23.9104234271</v>
      </c>
      <c r="P52" s="25">
        <f t="shared" si="12"/>
        <v>6.8074189485081735</v>
      </c>
      <c r="Q52" s="25" cm="1">
        <f t="array" ref="Q52">_xldudf_WISE(A52, "Enterprise Value Over EBITDA", $AI$4)</f>
        <v>54.864039293399998</v>
      </c>
      <c r="R52" s="25" cm="1">
        <f t="array" ref="R52">_xldudf_WISE(A52, "Net Debt To EBITDA", $AI$4)</f>
        <v>9.6297496064000008</v>
      </c>
      <c r="S52" s="25" cm="1">
        <f t="array" ref="S52">_xldudf_WISE(A52, "Current Ratio", $AI$4)</f>
        <v>0.74528664730000005</v>
      </c>
      <c r="T52" s="18" t="str" cm="1">
        <f t="array" ref="T52">_xldudf_WISEPRICE(A52,"Earnings Announcement")</f>
        <v>2026-05-21</v>
      </c>
      <c r="U52" s="19">
        <f t="shared" ca="1" si="13"/>
        <v>16</v>
      </c>
      <c r="V52" s="20">
        <v>40</v>
      </c>
      <c r="W52" s="21">
        <v>9000</v>
      </c>
      <c r="X52" s="22">
        <v>44.4</v>
      </c>
      <c r="Y52" s="15">
        <f t="shared" si="14"/>
        <v>2.2000000000000002</v>
      </c>
      <c r="Z52" s="15">
        <f t="shared" si="15"/>
        <v>1.8</v>
      </c>
      <c r="AA52" s="15">
        <f t="shared" si="16"/>
        <v>1.7</v>
      </c>
      <c r="AB52" s="15">
        <f t="shared" si="17"/>
        <v>1</v>
      </c>
      <c r="AC52" s="15">
        <f t="shared" ca="1" si="18"/>
        <v>5</v>
      </c>
      <c r="AD52" s="15">
        <f t="shared" si="19"/>
        <v>3.3</v>
      </c>
      <c r="AE52" s="16">
        <f ca="1">IFERROR(ROUND(Y52*Weights!$B$6+Z52*Weights!$B$7+AA52*Weights!$B$8+AB52*Weights!$B$9+AC52*Weights!$B$10+AD52*Weights!$B$11,2),"")</f>
        <v>2.04</v>
      </c>
      <c r="AF52" s="14" t="str">
        <f t="shared" ca="1" si="9"/>
        <v>Pass</v>
      </c>
      <c r="AG52" s="17" t="str">
        <f t="shared" ca="1" si="20"/>
        <v>Skip</v>
      </c>
    </row>
    <row r="53" spans="1:33" x14ac:dyDescent="0.25">
      <c r="A53" s="30" t="s">
        <v>127</v>
      </c>
      <c r="B53" s="31" t="str" cm="1">
        <f t="array" ref="B53">_xldudf_WISEPRICE(A53, "Name")</f>
        <v>Autodesk, Inc.</v>
      </c>
      <c r="C53" s="23" cm="1">
        <f t="array" ref="C53">_xldudf_WISE(A53, "ROE", $AI$4)</f>
        <v>0.1037766831</v>
      </c>
      <c r="D53" s="23" cm="1">
        <f t="array" ref="D53">_xldudf_WISE(A53, "ROIC", $AI$4)</f>
        <v>5.6186807200000001E-2</v>
      </c>
      <c r="E53" s="24" cm="1">
        <f t="array" ref="E53">_xldudf_WISE(A53, "Operating Income", $AI$4)</f>
        <v>531000000</v>
      </c>
      <c r="F53" s="24" cm="1">
        <f t="array" ref="F53">_xldudf_WISE(A53, "Net Income",$AI$4)</f>
        <v>316000000</v>
      </c>
      <c r="G53" s="24" cm="1">
        <f t="array" ref="G53">_xldudf_WISE(A53, "Revenue", $AI$4)</f>
        <v>1957000000</v>
      </c>
      <c r="H53" s="23">
        <f t="shared" si="10"/>
        <v>0.16147164026571281</v>
      </c>
      <c r="I53" s="23">
        <f t="shared" si="11"/>
        <v>0.27133367399080227</v>
      </c>
      <c r="J53" s="25" cm="1">
        <f t="array" ref="J53">_xldudf_WISE(A53, "Free Cash Flow", $AI$4)/F53</f>
        <v>3.0537974683544302</v>
      </c>
      <c r="K53" s="23" cm="1">
        <f t="array" ref="K53">_xldudf_WISE(A53, "Revenue Growth", $AI$4)</f>
        <v>5.6099999999999997E-2</v>
      </c>
      <c r="L53" s="23" cm="1">
        <f t="array" ref="L53">_xldudf_WISE(A53, "EPS Growth", $AI$4)</f>
        <v>-7.4499999999999997E-2</v>
      </c>
      <c r="M53" s="23" cm="1">
        <f t="array" ref="M53">(_xldudf_WISE(A53,"Estimated EPS AVG",2027)-_xldudf_WISE(A53,"Estimated EPS AVG",2026))/_xldudf_WISE(A53,"Estimated EPS AVG",2026)</f>
        <v>0.21317891178726164</v>
      </c>
      <c r="N53" s="26" t="str" cm="1">
        <f t="array" ref="N53">IF(_xldudf_WISE(A53,"EPS","LQ-0")&gt;_xldudf_WISE(A53,"EPS","LQ-1"),"Y","N")</f>
        <v>N</v>
      </c>
      <c r="O53" s="25" cm="1">
        <f t="array" ref="O53">_xldudf_WISE(A53, "PE Ratio", $AI$4)</f>
        <v>42.411740506299999</v>
      </c>
      <c r="P53" s="25">
        <f t="shared" si="12"/>
        <v>1.989490430865136</v>
      </c>
      <c r="Q53" s="25" cm="1">
        <f t="array" ref="Q53">_xldudf_WISE(A53, "Enterprise Value Over EBITDA", $AI$4)</f>
        <v>109.2796767677</v>
      </c>
      <c r="R53" s="25" cm="1">
        <f t="array" ref="R53">_xldudf_WISE(A53, "Net Debt To EBITDA", $AI$4)</f>
        <v>0.97979797980000005</v>
      </c>
      <c r="S53" s="25" cm="1">
        <f t="array" ref="S53">_xldudf_WISE(A53, "Current Ratio", $AI$4)</f>
        <v>0.85089531679999997</v>
      </c>
      <c r="T53" s="18" t="str" cm="1">
        <f t="array" ref="T53">_xldudf_WISEPRICE(A53,"Earnings Announcement")</f>
        <v>2026-05-21</v>
      </c>
      <c r="U53" s="19">
        <f t="shared" ca="1" si="13"/>
        <v>16</v>
      </c>
      <c r="V53" s="20">
        <v>40</v>
      </c>
      <c r="W53" s="21">
        <v>9000</v>
      </c>
      <c r="X53" s="22">
        <v>45.4</v>
      </c>
      <c r="Y53" s="15">
        <f t="shared" si="14"/>
        <v>3.8</v>
      </c>
      <c r="Z53" s="15">
        <f t="shared" si="15"/>
        <v>2.8</v>
      </c>
      <c r="AA53" s="15">
        <f t="shared" si="16"/>
        <v>1.7</v>
      </c>
      <c r="AB53" s="15">
        <f t="shared" si="17"/>
        <v>3</v>
      </c>
      <c r="AC53" s="15">
        <f t="shared" ca="1" si="18"/>
        <v>5</v>
      </c>
      <c r="AD53" s="15">
        <f t="shared" si="19"/>
        <v>3.3</v>
      </c>
      <c r="AE53" s="16">
        <f ca="1">IFERROR(ROUND(Y53*Weights!$B$6+Z53*Weights!$B$7+AA53*Weights!$B$8+AB53*Weights!$B$9+AC53*Weights!$B$10+AD53*Weights!$B$11,2),"")</f>
        <v>3.09</v>
      </c>
      <c r="AF53" s="14" t="str">
        <f t="shared" ca="1" si="9"/>
        <v>Hold/Watch</v>
      </c>
      <c r="AG53" s="17" t="str">
        <f t="shared" ca="1" si="20"/>
        <v>Quarter size or wait</v>
      </c>
    </row>
    <row r="54" spans="1:33" x14ac:dyDescent="0.25">
      <c r="A54" s="30" t="s">
        <v>136</v>
      </c>
      <c r="B54" s="31" t="str" cm="1">
        <f t="array" ref="B54">_xldudf_WISEPRICE(A54, "Name")</f>
        <v>HubSpot, Inc.</v>
      </c>
      <c r="C54" s="23" cm="1">
        <f t="array" ref="C54">_xldudf_WISE(A54, "ROE", $AI$4)</f>
        <v>2.63405484E-2</v>
      </c>
      <c r="D54" s="23" cm="1">
        <f t="array" ref="D54">_xldudf_WISE(A54, "ROIC", $AI$4)</f>
        <v>1.76945082E-2</v>
      </c>
      <c r="E54" s="24" cm="1">
        <f t="array" ref="E54">_xldudf_WISE(A54, "Operating Income", $AI$4)</f>
        <v>48637000</v>
      </c>
      <c r="F54" s="24" cm="1">
        <f t="array" ref="F54">_xldudf_WISE(A54, "Net Income",$AI$4)</f>
        <v>54426000</v>
      </c>
      <c r="G54" s="24" cm="1">
        <f t="array" ref="G54">_xldudf_WISE(A54, "Revenue", $AI$4)</f>
        <v>846327000</v>
      </c>
      <c r="H54" s="23">
        <f t="shared" si="10"/>
        <v>6.4308476510852183E-2</v>
      </c>
      <c r="I54" s="23">
        <f t="shared" si="11"/>
        <v>5.7468330798851983E-2</v>
      </c>
      <c r="J54" s="25" cm="1">
        <f t="array" ref="J54">_xldudf_WISE(A54, "Free Cash Flow", $AI$4)/F54</f>
        <v>3.7429904824899864</v>
      </c>
      <c r="K54" s="23" cm="1">
        <f t="array" ref="K54">_xldudf_WISE(A54, "Revenue Growth", $AI$4)</f>
        <v>4.5499999999999999E-2</v>
      </c>
      <c r="L54" s="23" cm="1">
        <f t="array" ref="L54">_xldudf_WISE(A54, "EPS Growth", $AI$4)</f>
        <v>2.3548</v>
      </c>
      <c r="M54" s="23" cm="1">
        <f t="array" ref="M54">(_xldudf_WISE(A54,"Estimated EPS AVG",2027)-_xldudf_WISE(A54,"Estimated EPS AVG",2026))/_xldudf_WISE(A54,"Estimated EPS AVG",2026)</f>
        <v>0.22611018181613773</v>
      </c>
      <c r="N54" s="26" t="str" cm="1">
        <f t="array" ref="N54">IF(_xldudf_WISE(A54,"EPS","LQ-0")&gt;_xldudf_WISE(A54,"EPS","LQ-1"),"Y","N")</f>
        <v>Y</v>
      </c>
      <c r="O54" s="25" cm="1">
        <f t="array" ref="O54">_xldudf_WISE(A54, "PE Ratio", $AI$4)</f>
        <v>96.695486072799994</v>
      </c>
      <c r="P54" s="25">
        <f t="shared" si="12"/>
        <v>4.2764764194222913</v>
      </c>
      <c r="Q54" s="25" cm="1">
        <f t="array" ref="Q54">_xldudf_WISE(A54, "Enterprise Value Over EBITDA", $AI$4)</f>
        <v>178.95745726140001</v>
      </c>
      <c r="R54" s="25" cm="1">
        <f t="array" ref="R54">_xldudf_WISE(A54, "Net Debt To EBITDA", $AI$4)</f>
        <v>-3.4427827503000001</v>
      </c>
      <c r="S54" s="25" cm="1">
        <f t="array" ref="S54">_xldudf_WISE(A54, "Current Ratio", $AI$4)</f>
        <v>1.5152265359999999</v>
      </c>
      <c r="T54" s="18" t="str" cm="1">
        <f t="array" ref="T54">_xldudf_WISEPRICE(A54,"Earnings Announcement")</f>
        <v>2026-05-07</v>
      </c>
      <c r="U54" s="19">
        <f t="shared" ca="1" si="13"/>
        <v>2</v>
      </c>
      <c r="V54" s="20">
        <v>40</v>
      </c>
      <c r="W54" s="21">
        <v>9000</v>
      </c>
      <c r="X54" s="22">
        <v>46.4</v>
      </c>
      <c r="Y54" s="15">
        <f t="shared" si="14"/>
        <v>2.2000000000000002</v>
      </c>
      <c r="Z54" s="15">
        <f t="shared" si="15"/>
        <v>4.3</v>
      </c>
      <c r="AA54" s="15">
        <f t="shared" si="16"/>
        <v>1</v>
      </c>
      <c r="AB54" s="15">
        <f t="shared" si="17"/>
        <v>4.5</v>
      </c>
      <c r="AC54" s="15">
        <f t="shared" ca="1" si="18"/>
        <v>4</v>
      </c>
      <c r="AD54" s="15">
        <f t="shared" si="19"/>
        <v>3.3</v>
      </c>
      <c r="AE54" s="16">
        <f ca="1">IFERROR(ROUND(Y54*Weights!$B$6+Z54*Weights!$B$7+AA54*Weights!$B$8+AB54*Weights!$B$9+AC54*Weights!$B$10+AD54*Weights!$B$11,2),"")</f>
        <v>3.13</v>
      </c>
      <c r="AF54" s="14" t="str">
        <f t="shared" ca="1" si="9"/>
        <v>Hold/Watch</v>
      </c>
      <c r="AG54" s="17" t="str">
        <f t="shared" ca="1" si="20"/>
        <v>Quarter size or wait</v>
      </c>
    </row>
    <row r="55" spans="1:33" x14ac:dyDescent="0.25">
      <c r="A55" s="30" t="s">
        <v>133</v>
      </c>
      <c r="B55" s="31" t="str" cm="1">
        <f t="array" ref="B55">_xldudf_WISEPRICE(A55, "Name")</f>
        <v>Thomson Reuters Corporation</v>
      </c>
      <c r="C55" s="23" cm="1">
        <f t="array" ref="C55">_xldudf_WISE(A55, "ROE", $AI$4)</f>
        <v>2.8294717300000001E-2</v>
      </c>
      <c r="D55" s="23" cm="1">
        <f t="array" ref="D55">_xldudf_WISE(A55, "ROIC", $AI$4)</f>
        <v>2.4259275600000001E-2</v>
      </c>
      <c r="E55" s="24" cm="1">
        <f t="array" ref="E55">_xldudf_WISE(A55, "Operating Income", $AI$4)</f>
        <v>546269744</v>
      </c>
      <c r="F55" s="24" cm="1">
        <f t="array" ref="F55">_xldudf_WISE(A55, "Net Income",$AI$4)</f>
        <v>337103262</v>
      </c>
      <c r="G55" s="24" cm="1">
        <f t="array" ref="G55">_xldudf_WISE(A55, "Revenue", $AI$4)</f>
        <v>2039880884</v>
      </c>
      <c r="H55" s="23">
        <f t="shared" si="10"/>
        <v>0.16525634640929357</v>
      </c>
      <c r="I55" s="23">
        <f t="shared" si="11"/>
        <v>0.26779492287256512</v>
      </c>
      <c r="J55" s="25" cm="1">
        <f t="array" ref="J55">_xldudf_WISE(A55, "Free Cash Flow", $AI$4)/F55</f>
        <v>1.8019651764746198</v>
      </c>
      <c r="K55" s="23" cm="1">
        <f t="array" ref="K55">_xldudf_WISE(A55, "Revenue Growth", $AI$4)</f>
        <v>0.1447</v>
      </c>
      <c r="L55" s="23" cm="1">
        <f t="array" ref="L55">_xldudf_WISE(A55, "EPS Growth", $AI$4)</f>
        <v>-0.1915</v>
      </c>
      <c r="M55" s="23" cm="1">
        <f t="array" ref="M55">(_xldudf_WISE(A55,"Estimated EPS AVG",2027)-_xldudf_WISE(A55,"Estimated EPS AVG",2026))/_xldudf_WISE(A55,"Estimated EPS AVG",2026)</f>
        <v>0.14002867009548542</v>
      </c>
      <c r="N55" s="26" t="str" cm="1">
        <f t="array" ref="N55">IF(_xldudf_WISE(A55,"EPS","LQ-0")&gt;_xldudf_WISE(A55,"EPS","LQ-1"),"Y","N")</f>
        <v>N</v>
      </c>
      <c r="O55" s="25" cm="1">
        <f t="array" ref="O55">_xldudf_WISE(A55, "PE Ratio", $AI$4)</f>
        <v>43.547112904999999</v>
      </c>
      <c r="P55" s="25">
        <f t="shared" si="12"/>
        <v>3.1098712053256854</v>
      </c>
      <c r="Q55" s="25" cm="1">
        <f t="array" ref="Q55">_xldudf_WISE(A55, "Enterprise Value Over EBITDA", $AI$4)</f>
        <v>76.564894020400004</v>
      </c>
      <c r="R55" s="25" cm="1">
        <f t="array" ref="R55">_xldudf_WISE(A55, "Net Debt To EBITDA", $AI$4)</f>
        <v>2.0409685247999998</v>
      </c>
      <c r="S55" s="25" cm="1">
        <f t="array" ref="S55">_xldudf_WISE(A55, "Current Ratio", $AI$4)</f>
        <v>0.64361649889999994</v>
      </c>
      <c r="T55" s="18" t="str" cm="1">
        <f t="array" ref="T55">_xldudf_WISEPRICE(A55,"Earnings Announcement")</f>
        <v>2026-05-05</v>
      </c>
      <c r="U55" s="19">
        <f t="shared" ca="1" si="13"/>
        <v>0</v>
      </c>
      <c r="V55" s="20">
        <v>40</v>
      </c>
      <c r="W55" s="21">
        <v>9000</v>
      </c>
      <c r="X55" s="22">
        <v>47.4</v>
      </c>
      <c r="Y55" s="15">
        <f t="shared" si="14"/>
        <v>3.2</v>
      </c>
      <c r="Z55" s="15">
        <f t="shared" si="15"/>
        <v>2.8</v>
      </c>
      <c r="AA55" s="15">
        <f t="shared" si="16"/>
        <v>1</v>
      </c>
      <c r="AB55" s="15">
        <f t="shared" si="17"/>
        <v>2</v>
      </c>
      <c r="AC55" s="15">
        <f t="shared" ca="1" si="18"/>
        <v>3.5</v>
      </c>
      <c r="AD55" s="15">
        <f t="shared" si="19"/>
        <v>3.3</v>
      </c>
      <c r="AE55" s="16">
        <f ca="1">IFERROR(ROUND(Y55*Weights!$B$6+Z55*Weights!$B$7+AA55*Weights!$B$8+AB55*Weights!$B$9+AC55*Weights!$B$10+AD55*Weights!$B$11,2),"")</f>
        <v>2.4500000000000002</v>
      </c>
      <c r="AF55" s="14" t="str">
        <f t="shared" ca="1" si="9"/>
        <v>Pass</v>
      </c>
      <c r="AG55" s="17" t="str">
        <f t="shared" ca="1" si="20"/>
        <v>Skip</v>
      </c>
    </row>
    <row r="56" spans="1:33" x14ac:dyDescent="0.25">
      <c r="A56" s="30" t="s">
        <v>138</v>
      </c>
      <c r="B56" s="31" t="str" cm="1">
        <f t="array" ref="B56">_xldudf_WISEPRICE(A56, "Name")</f>
        <v>AvePoint, Inc.</v>
      </c>
      <c r="C56" s="23" cm="1">
        <f t="array" ref="C56">_xldudf_WISE(A56, "ROE", $AI$4)</f>
        <v>3.26802437E-2</v>
      </c>
      <c r="D56" s="23" cm="1">
        <f t="array" ref="D56">_xldudf_WISE(A56, "ROIC", $AI$4)</f>
        <v>2.7607127499999998E-2</v>
      </c>
      <c r="E56" s="24" cm="1">
        <f t="array" ref="E56">_xldudf_WISE(A56, "Operating Income", $AI$4)</f>
        <v>14525000</v>
      </c>
      <c r="F56" s="24" cm="1">
        <f t="array" ref="F56">_xldudf_WISE(A56, "Net Income",$AI$4)</f>
        <v>15644000</v>
      </c>
      <c r="G56" s="24" cm="1">
        <f t="array" ref="G56">_xldudf_WISE(A56, "Revenue", $AI$4)</f>
        <v>114687000</v>
      </c>
      <c r="H56" s="23">
        <f t="shared" si="10"/>
        <v>0.13640604427703226</v>
      </c>
      <c r="I56" s="23">
        <f t="shared" si="11"/>
        <v>0.12664905351086</v>
      </c>
      <c r="J56" s="25" cm="1">
        <f t="array" ref="J56">_xldudf_WISE(A56, "Free Cash Flow", $AI$4)/F56</f>
        <v>1.8513167348504218</v>
      </c>
      <c r="K56" s="23" cm="1">
        <f t="array" ref="K56">_xldudf_WISE(A56, "Revenue Growth", $AI$4)</f>
        <v>4.5199999999999997E-2</v>
      </c>
      <c r="L56" s="23" cm="1">
        <f t="array" ref="L56">_xldudf_WISE(A56, "EPS Growth", $AI$4)</f>
        <v>0.184</v>
      </c>
      <c r="M56" s="23" cm="1">
        <f t="array" ref="M56">(_xldudf_WISE(A56,"Estimated EPS AVG",2027)-_xldudf_WISE(A56,"Estimated EPS AVG",2026))/_xldudf_WISE(A56,"Estimated EPS AVG",2026)</f>
        <v>0.30903468674374823</v>
      </c>
      <c r="N56" s="26" t="str" cm="1">
        <f t="array" ref="N56">IF(_xldudf_WISE(A56,"EPS","LQ-0")&gt;_xldudf_WISE(A56,"EPS","LQ-1"),"Y","N")</f>
        <v>Y</v>
      </c>
      <c r="O56" s="25" cm="1">
        <f t="array" ref="O56">_xldudf_WISE(A56, "PE Ratio", $AI$4)</f>
        <v>47.749538641000001</v>
      </c>
      <c r="P56" s="25">
        <f t="shared" si="12"/>
        <v>1.5451190655692948</v>
      </c>
      <c r="Q56" s="25" cm="1">
        <f t="array" ref="Q56">_xldudf_WISE(A56, "Enterprise Value Over EBITDA", $AI$4)</f>
        <v>143.5746794067</v>
      </c>
      <c r="R56" s="25" cm="1">
        <f t="array" ref="R56">_xldudf_WISE(A56, "Net Debt To EBITDA", $AI$4)</f>
        <v>-26.874557900700001</v>
      </c>
      <c r="S56" s="25" cm="1">
        <f t="array" ref="S56">_xldudf_WISE(A56, "Current Ratio", $AI$4)</f>
        <v>2.2847288193000002</v>
      </c>
      <c r="T56" s="18" t="str" cm="1">
        <f t="array" ref="T56">_xldudf_WISEPRICE(A56,"Earnings Announcement")</f>
        <v>2026-05-07</v>
      </c>
      <c r="U56" s="19">
        <f t="shared" ca="1" si="13"/>
        <v>2</v>
      </c>
      <c r="V56" s="20">
        <v>40</v>
      </c>
      <c r="W56" s="21">
        <v>9000</v>
      </c>
      <c r="X56" s="22">
        <v>48.4</v>
      </c>
      <c r="Y56" s="15">
        <f t="shared" si="14"/>
        <v>2.8</v>
      </c>
      <c r="Z56" s="15">
        <f t="shared" si="15"/>
        <v>4</v>
      </c>
      <c r="AA56" s="15">
        <f t="shared" si="16"/>
        <v>1.7</v>
      </c>
      <c r="AB56" s="15">
        <f t="shared" si="17"/>
        <v>5</v>
      </c>
      <c r="AC56" s="15">
        <f t="shared" ca="1" si="18"/>
        <v>4</v>
      </c>
      <c r="AD56" s="15">
        <f t="shared" si="19"/>
        <v>3.3</v>
      </c>
      <c r="AE56" s="16">
        <f ca="1">IFERROR(ROUND(Y56*Weights!$B$6+Z56*Weights!$B$7+AA56*Weights!$B$8+AB56*Weights!$B$9+AC56*Weights!$B$10+AD56*Weights!$B$11,2),"")</f>
        <v>3.44</v>
      </c>
      <c r="AF56" s="14" t="str">
        <f t="shared" ca="1" si="9"/>
        <v>Hold/Watch</v>
      </c>
      <c r="AG56" s="17" t="str">
        <f t="shared" ca="1" si="20"/>
        <v>Quarter size or wait</v>
      </c>
    </row>
    <row r="57" spans="1:33" x14ac:dyDescent="0.25">
      <c r="A57" s="30" t="s">
        <v>141</v>
      </c>
      <c r="B57" s="31" t="str" cm="1">
        <f t="array" ref="B57">_xldudf_WISEPRICE(A57, "Name")</f>
        <v>The J. M. Smucker Company</v>
      </c>
      <c r="C57" s="23" cm="1">
        <f t="array" ref="C57">_xldudf_WISE(A57, "ROE", $AI$4)</f>
        <v>-0.1383090468</v>
      </c>
      <c r="D57" s="23" cm="1">
        <f t="array" ref="D57">_xldudf_WISE(A57, "ROIC", $AI$4)</f>
        <v>3.2899627000000001E-2</v>
      </c>
      <c r="E57" s="24" cm="1">
        <f t="array" ref="E57">_xldudf_WISE(A57, "Operating Income", $AI$4)</f>
        <v>473600000</v>
      </c>
      <c r="F57" s="24" cm="1">
        <f t="array" ref="F57">_xldudf_WISE(A57, "Net Income",$AI$4)</f>
        <v>-724200000</v>
      </c>
      <c r="G57" s="24" cm="1">
        <f t="array" ref="G57">_xldudf_WISE(A57, "Revenue", $AI$4)</f>
        <v>2339400000</v>
      </c>
      <c r="H57" s="23">
        <f t="shared" si="10"/>
        <v>-0.3095665555270582</v>
      </c>
      <c r="I57" s="23">
        <f t="shared" si="11"/>
        <v>0.20244507138582543</v>
      </c>
      <c r="J57" s="25" cm="1">
        <f t="array" ref="J57">_xldudf_WISE(A57, "Free Cash Flow", $AI$4)/F57</f>
        <v>-0.67246616956641814</v>
      </c>
      <c r="K57" s="23" cm="1">
        <f t="array" ref="K57">_xldudf_WISE(A57, "Revenue Growth", $AI$4)</f>
        <v>4.0000000000000001E-3</v>
      </c>
      <c r="L57" s="23" cm="1">
        <f t="array" ref="L57">_xldudf_WISE(A57, "EPS Growth", $AI$4)</f>
        <v>-4.0044000000000004</v>
      </c>
      <c r="M57" s="23" cm="1">
        <f t="array" ref="M57">(_xldudf_WISE(A57,"Estimated EPS AVG",2027)-_xldudf_WISE(A57,"Estimated EPS AVG",2026))/_xldudf_WISE(A57,"Estimated EPS AVG",2026)</f>
        <v>0.11459131729231364</v>
      </c>
      <c r="N57" s="26" t="str" cm="1">
        <f t="array" ref="N57">IF(_xldudf_WISE(A57,"EPS","LQ-0")&gt;_xldudf_WISE(A57,"EPS","LQ-1"),"Y","N")</f>
        <v>N</v>
      </c>
      <c r="O57" s="25" cm="1">
        <f t="array" ref="O57">_xldudf_WISE(A57, "PE Ratio", $AI$4)</f>
        <v>-3.8623867716000002</v>
      </c>
      <c r="P57" s="25">
        <f t="shared" si="12"/>
        <v>-0.33705754178105385</v>
      </c>
      <c r="Q57" s="25" cm="1">
        <f t="array" ref="Q57">_xldudf_WISE(A57, "Enterprise Value Over EBITDA", $AI$4)</f>
        <v>-44.9795838374</v>
      </c>
      <c r="R57" s="25" cm="1">
        <f t="array" ref="R57">_xldudf_WISE(A57, "Net Debt To EBITDA", $AI$4)</f>
        <v>-17.908299056400001</v>
      </c>
      <c r="S57" s="25" cm="1">
        <f t="array" ref="S57">_xldudf_WISE(A57, "Current Ratio", $AI$4)</f>
        <v>0.8435922454</v>
      </c>
      <c r="T57" s="18" t="str" cm="1">
        <f t="array" ref="T57">_xldudf_WISEPRICE(A57,"Earnings Announcement")</f>
        <v>2026-06-04</v>
      </c>
      <c r="U57" s="19">
        <f t="shared" ca="1" si="13"/>
        <v>30</v>
      </c>
      <c r="V57" s="20">
        <v>40</v>
      </c>
      <c r="W57" s="21">
        <v>9000</v>
      </c>
      <c r="X57" s="22">
        <v>49.4</v>
      </c>
      <c r="Y57" s="15">
        <f t="shared" si="14"/>
        <v>1.6</v>
      </c>
      <c r="Z57" s="15">
        <f t="shared" si="15"/>
        <v>2.2999999999999998</v>
      </c>
      <c r="AA57" s="15">
        <f t="shared" si="16"/>
        <v>5</v>
      </c>
      <c r="AB57" s="15">
        <f t="shared" si="17"/>
        <v>3.5</v>
      </c>
      <c r="AC57" s="15">
        <f t="shared" ca="1" si="18"/>
        <v>5</v>
      </c>
      <c r="AD57" s="15">
        <f t="shared" si="19"/>
        <v>3.3</v>
      </c>
      <c r="AE57" s="16">
        <f ca="1">IFERROR(ROUND(Y57*Weights!$B$6+Z57*Weights!$B$7+AA57*Weights!$B$8+AB57*Weights!$B$9+AC57*Weights!$B$10+AD57*Weights!$B$11,2),"")</f>
        <v>3.18</v>
      </c>
      <c r="AF57" s="14" t="str">
        <f t="shared" ca="1" si="9"/>
        <v>Hold/Watch</v>
      </c>
      <c r="AG57" s="17" t="str">
        <f t="shared" ca="1" si="20"/>
        <v>Quarter size or wait</v>
      </c>
    </row>
    <row r="58" spans="1:33" x14ac:dyDescent="0.25">
      <c r="A58" s="30" t="s">
        <v>131</v>
      </c>
      <c r="B58" s="31" t="str" cm="1">
        <f t="array" ref="B58">_xldudf_WISEPRICE(A58, "Name")</f>
        <v>BXP, Inc.</v>
      </c>
      <c r="C58" s="23" cm="1">
        <f t="array" ref="C58">_xldudf_WISE(A58, "ROE", $AI$4)</f>
        <v>1.9715406099999999E-2</v>
      </c>
      <c r="D58" s="23" cm="1">
        <f t="array" ref="D58">_xldudf_WISE(A58, "ROIC", $AI$4)</f>
        <v>9.3214765000000002E-3</v>
      </c>
      <c r="E58" s="24" cm="1">
        <f t="array" ref="E58">_xldudf_WISE(A58, "Operating Income", $AI$4)</f>
        <v>227777000</v>
      </c>
      <c r="F58" s="24" cm="1">
        <f t="array" ref="F58">_xldudf_WISE(A58, "Net Income",$AI$4)</f>
        <v>101576000</v>
      </c>
      <c r="G58" s="24" cm="1">
        <f t="array" ref="G58">_xldudf_WISE(A58, "Revenue", $AI$4)</f>
        <v>872148000</v>
      </c>
      <c r="H58" s="23">
        <f t="shared" si="10"/>
        <v>0.1164664712869834</v>
      </c>
      <c r="I58" s="23">
        <f t="shared" si="11"/>
        <v>0.2611678293133734</v>
      </c>
      <c r="J58" s="25" cm="1">
        <f t="array" ref="J58">_xldudf_WISE(A58, "Free Cash Flow", $AI$4)/F58</f>
        <v>2.6296664566433017</v>
      </c>
      <c r="K58" s="23" cm="1">
        <f t="array" ref="K58">_xldudf_WISE(A58, "Revenue Growth", $AI$4)</f>
        <v>-5.5999999999999999E-3</v>
      </c>
      <c r="L58" s="23" cm="1">
        <f t="array" ref="L58">_xldudf_WISE(A58, "EPS Growth", $AI$4)</f>
        <v>-0.59240000000000004</v>
      </c>
      <c r="M58" s="23" cm="1">
        <f t="array" ref="M58">(_xldudf_WISE(A58,"Estimated EPS AVG",2027)-_xldudf_WISE(A58,"Estimated EPS AVG",2026))/_xldudf_WISE(A58,"Estimated EPS AVG",2026)</f>
        <v>0.10061756112922139</v>
      </c>
      <c r="N58" s="26" t="str" cm="1">
        <f t="array" ref="N58">IF(_xldudf_WISE(A58,"EPS","LQ-0")&gt;_xldudf_WISE(A58,"EPS","LQ-1"),"Y","N")</f>
        <v>N</v>
      </c>
      <c r="O58" s="25" cm="1">
        <f t="array" ref="O58">_xldudf_WISE(A58, "PE Ratio", $AI$4)</f>
        <v>20.2734375</v>
      </c>
      <c r="P58" s="25">
        <f t="shared" si="12"/>
        <v>2.0149005076721322</v>
      </c>
      <c r="Q58" s="25" cm="1">
        <f t="array" ref="Q58">_xldudf_WISE(A58, "Enterprise Value Over EBITDA", $AI$4)</f>
        <v>58.175881460399999</v>
      </c>
      <c r="R58" s="25" cm="1">
        <f t="array" ref="R58">_xldudf_WISE(A58, "Net Debt To EBITDA", $AI$4)</f>
        <v>37.952367624399997</v>
      </c>
      <c r="S58" s="25" cm="1">
        <f t="array" ref="S58">_xldudf_WISE(A58, "Current Ratio", $AI$4)</f>
        <v>0.58862967150000001</v>
      </c>
      <c r="T58" s="18" t="str" cm="1">
        <f t="array" ref="T58">_xldudf_WISEPRICE(A58,"Earnings Announcement")</f>
        <v>2026-07-28</v>
      </c>
      <c r="U58" s="19">
        <f t="shared" ca="1" si="13"/>
        <v>84</v>
      </c>
      <c r="V58" s="20">
        <v>40</v>
      </c>
      <c r="W58" s="21">
        <v>9000</v>
      </c>
      <c r="X58" s="22">
        <v>50.4</v>
      </c>
      <c r="Y58" s="15">
        <f t="shared" si="14"/>
        <v>3</v>
      </c>
      <c r="Z58" s="15">
        <f t="shared" si="15"/>
        <v>2</v>
      </c>
      <c r="AA58" s="15">
        <f t="shared" si="16"/>
        <v>2</v>
      </c>
      <c r="AB58" s="15">
        <f t="shared" si="17"/>
        <v>1</v>
      </c>
      <c r="AC58" s="15">
        <f t="shared" ca="1" si="18"/>
        <v>5</v>
      </c>
      <c r="AD58" s="15">
        <f t="shared" si="19"/>
        <v>3.3</v>
      </c>
      <c r="AE58" s="16">
        <f ca="1">IFERROR(ROUND(Y58*Weights!$B$6+Z58*Weights!$B$7+AA58*Weights!$B$8+AB58*Weights!$B$9+AC58*Weights!$B$10+AD58*Weights!$B$11,2),"")</f>
        <v>2.35</v>
      </c>
      <c r="AF58" s="14" t="str">
        <f t="shared" ca="1" si="9"/>
        <v>Pass</v>
      </c>
      <c r="AG58" s="17" t="str">
        <f t="shared" ca="1" si="20"/>
        <v>Skip</v>
      </c>
    </row>
    <row r="59" spans="1:33" x14ac:dyDescent="0.25">
      <c r="A59" s="30" t="s">
        <v>167</v>
      </c>
      <c r="B59" s="31" t="str" cm="1">
        <f t="array" ref="B59">_xldudf_WISEPRICE(A59, "Name")</f>
        <v>NICE Ltd.</v>
      </c>
      <c r="C59" s="23" cm="1">
        <f t="array" ref="C59">_xldudf_WISE(A59, "ROE", $AI$4)</f>
        <v>3.9629969500000001E-2</v>
      </c>
      <c r="D59" s="23" cm="1">
        <f t="array" ref="D59">_xldudf_WISE(A59, "ROIC", $AI$4)</f>
        <v>3.5017668100000003E-2</v>
      </c>
      <c r="E59" s="24" cm="1">
        <f t="array" ref="E59">_xldudf_WISE(A59, "Operating Income", $AI$4)</f>
        <v>179856899</v>
      </c>
      <c r="F59" s="24" cm="1">
        <f t="array" ref="F59">_xldudf_WISE(A59, "Net Income",$AI$4)</f>
        <v>153658578</v>
      </c>
      <c r="G59" s="24" cm="1">
        <f t="array" ref="G59">_xldudf_WISE(A59, "Revenue", $AI$4)</f>
        <v>802714355</v>
      </c>
      <c r="H59" s="23">
        <f t="shared" si="10"/>
        <v>0.19142373254306633</v>
      </c>
      <c r="I59" s="23">
        <f t="shared" si="11"/>
        <v>0.22406089772743631</v>
      </c>
      <c r="J59" s="25" cm="1">
        <f t="array" ref="J59">_xldudf_WISE(A59, "Free Cash Flow", $AI$4)/F59</f>
        <v>1.1707796033359101</v>
      </c>
      <c r="K59" s="23" cm="1">
        <f t="array" ref="K59">_xldudf_WISE(A59, "Revenue Growth", $AI$4)</f>
        <v>9.6600000000000005E-2</v>
      </c>
      <c r="L59" s="23" cm="1">
        <f t="array" ref="L59">_xldudf_WISE(A59, "EPS Growth", $AI$4)</f>
        <v>6.8699999999999997E-2</v>
      </c>
      <c r="M59" s="23" cm="1">
        <f t="array" ref="M59">(_xldudf_WISE(A59,"Estimated EPS AVG",2027)-_xldudf_WISE(A59,"Estimated EPS AVG",2026))/_xldudf_WISE(A59,"Estimated EPS AVG",2026)</f>
        <v>0.13782301627105828</v>
      </c>
      <c r="N59" s="26" t="str" cm="1">
        <f t="array" ref="N59">IF(_xldudf_WISE(A59,"EPS","LQ-0")&gt;_xldudf_WISE(A59,"EPS","LQ-1"),"Y","N")</f>
        <v>Y</v>
      </c>
      <c r="O59" s="25" cm="1">
        <f t="array" ref="O59">_xldudf_WISE(A59, "PE Ratio", $AI$4)</f>
        <v>11.2686018817</v>
      </c>
      <c r="P59" s="25">
        <f t="shared" si="12"/>
        <v>0.81761393608872257</v>
      </c>
      <c r="Q59" s="25" cm="1">
        <f t="array" ref="Q59">_xldudf_WISE(A59, "Enterprise Value Over EBITDA", $AI$4)</f>
        <v>27.580607771899999</v>
      </c>
      <c r="R59" s="25" cm="1">
        <f t="array" ref="R59">_xldudf_WISE(A59, "Net Debt To EBITDA", $AI$4)</f>
        <v>-0.89713567920000004</v>
      </c>
      <c r="S59" s="25" cm="1">
        <f t="array" ref="S59">_xldudf_WISE(A59, "Current Ratio", $AI$4)</f>
        <v>1.5537292146999999</v>
      </c>
      <c r="T59" s="18" t="str" cm="1">
        <f t="array" ref="T59">_xldudf_WISEPRICE(A59,"Earnings Announcement")</f>
        <v>2026-05-06</v>
      </c>
      <c r="U59" s="19">
        <f t="shared" ca="1" si="13"/>
        <v>1</v>
      </c>
      <c r="V59" s="20">
        <v>40</v>
      </c>
      <c r="W59" s="21">
        <v>9000</v>
      </c>
      <c r="X59" s="22">
        <v>51.4</v>
      </c>
      <c r="Y59" s="15">
        <f t="shared" si="14"/>
        <v>3</v>
      </c>
      <c r="Z59" s="15">
        <f t="shared" si="15"/>
        <v>3.8</v>
      </c>
      <c r="AA59" s="15">
        <f t="shared" si="16"/>
        <v>4</v>
      </c>
      <c r="AB59" s="15">
        <f t="shared" si="17"/>
        <v>4.5</v>
      </c>
      <c r="AC59" s="15">
        <f t="shared" ca="1" si="18"/>
        <v>4</v>
      </c>
      <c r="AD59" s="15">
        <f t="shared" si="19"/>
        <v>3.3</v>
      </c>
      <c r="AE59" s="16">
        <f ca="1">IFERROR(ROUND(Y59*Weights!$B$6+Z59*Weights!$B$7+AA59*Weights!$B$8+AB59*Weights!$B$9+AC59*Weights!$B$10+AD59*Weights!$B$11,2),"")</f>
        <v>3.8</v>
      </c>
      <c r="AF59" s="14" t="str">
        <f t="shared" ca="1" si="9"/>
        <v>Buy</v>
      </c>
      <c r="AG59" s="17" t="str">
        <f t="shared" ca="1" si="20"/>
        <v>Half size — ITM call preferred</v>
      </c>
    </row>
    <row r="60" spans="1:33" x14ac:dyDescent="0.25">
      <c r="A60" s="30" t="s">
        <v>135</v>
      </c>
      <c r="B60" s="31" t="str" cm="1">
        <f t="array" ref="B60">_xldudf_WISEPRICE(A60, "Name")</f>
        <v>Elastic N.V.</v>
      </c>
      <c r="C60" s="23" cm="1">
        <f t="array" ref="C60">_xldudf_WISE(A60, "ROE", $AI$4)</f>
        <v>9.8016286000000008E-3</v>
      </c>
      <c r="D60" s="23" cm="1">
        <f t="array" ref="D60">_xldudf_WISE(A60, "ROIC", $AI$4)</f>
        <v>4.1784549999999998E-4</v>
      </c>
      <c r="E60" s="24" cm="1">
        <f t="array" ref="E60">_xldudf_WISE(A60, "Operating Income", $AI$4)</f>
        <v>611000</v>
      </c>
      <c r="F60" s="24" cm="1">
        <f t="array" ref="F60">_xldudf_WISE(A60, "Net Income",$AI$4)</f>
        <v>7753000</v>
      </c>
      <c r="G60" s="24" cm="1">
        <f t="array" ref="G60">_xldudf_WISE(A60, "Revenue", $AI$4)</f>
        <v>449881000</v>
      </c>
      <c r="H60" s="23">
        <f t="shared" si="10"/>
        <v>1.7233446177989289E-2</v>
      </c>
      <c r="I60" s="23">
        <f t="shared" si="11"/>
        <v>1.3581369295435903E-3</v>
      </c>
      <c r="J60" s="25" cm="1">
        <f t="array" ref="J60">_xldudf_WISE(A60, "Free Cash Flow", $AI$4)/F60</f>
        <v>5.3915903521217592</v>
      </c>
      <c r="K60" s="23" cm="1">
        <f t="array" ref="K60">_xldudf_WISE(A60, "Revenue Growth", $AI$4)</f>
        <v>6.2300000000000001E-2</v>
      </c>
      <c r="L60" s="23" cm="1">
        <f t="array" ref="L60">_xldudf_WISE(A60, "EPS Growth", $AI$4)</f>
        <v>1.1546000000000001</v>
      </c>
      <c r="M60" s="23" cm="1">
        <f t="array" ref="M60">(_xldudf_WISE(A60,"Estimated EPS AVG",2027)-_xldudf_WISE(A60,"Estimated EPS AVG",2026))/_xldudf_WISE(A60,"Estimated EPS AVG",2026)</f>
        <v>0.12723435260202587</v>
      </c>
      <c r="N60" s="26" t="str" cm="1">
        <f t="array" ref="N60">IF(_xldudf_WISE(A60,"EPS","LQ-0")&gt;_xldudf_WISE(A60,"EPS","LQ-1"),"Y","N")</f>
        <v>Y</v>
      </c>
      <c r="O60" s="25" cm="1">
        <f t="array" ref="O60">_xldudf_WISE(A60, "PE Ratio", $AI$4)</f>
        <v>224.67788545499999</v>
      </c>
      <c r="P60" s="25">
        <f t="shared" si="12"/>
        <v>17.658586762158965</v>
      </c>
      <c r="Q60" s="25" cm="1">
        <f t="array" ref="Q60">_xldudf_WISE(A60, "Enterprise Value Over EBITDA", $AI$4)</f>
        <v>127.942836465</v>
      </c>
      <c r="R60" s="25" cm="1">
        <f t="array" ref="R60">_xldudf_WISE(A60, "Net Debt To EBITDA", $AI$4)</f>
        <v>-2.8006117125999999</v>
      </c>
      <c r="S60" s="25" cm="1">
        <f t="array" ref="S60">_xldudf_WISE(A60, "Current Ratio", $AI$4)</f>
        <v>1.8180055002</v>
      </c>
      <c r="T60" s="18" t="str" cm="1">
        <f t="array" ref="T60">_xldudf_WISEPRICE(A60,"Earnings Announcement")</f>
        <v>2026-05-28</v>
      </c>
      <c r="U60" s="19">
        <f t="shared" ca="1" si="13"/>
        <v>23</v>
      </c>
      <c r="V60" s="20">
        <v>40</v>
      </c>
      <c r="W60" s="21">
        <v>9000</v>
      </c>
      <c r="X60" s="22">
        <v>52.4</v>
      </c>
      <c r="Y60" s="15">
        <f t="shared" si="14"/>
        <v>1.8</v>
      </c>
      <c r="Z60" s="15">
        <f t="shared" si="15"/>
        <v>4.3</v>
      </c>
      <c r="AA60" s="15">
        <f t="shared" si="16"/>
        <v>1</v>
      </c>
      <c r="AB60" s="15">
        <f t="shared" si="17"/>
        <v>4.5</v>
      </c>
      <c r="AC60" s="15">
        <f t="shared" ca="1" si="18"/>
        <v>5</v>
      </c>
      <c r="AD60" s="15">
        <f t="shared" si="19"/>
        <v>3.3</v>
      </c>
      <c r="AE60" s="16">
        <f ca="1">IFERROR(ROUND(Y60*Weights!$B$6+Z60*Weights!$B$7+AA60*Weights!$B$8+AB60*Weights!$B$9+AC60*Weights!$B$10+AD60*Weights!$B$11,2),"")</f>
        <v>3.13</v>
      </c>
      <c r="AF60" s="14" t="str">
        <f t="shared" ca="1" si="9"/>
        <v>Hold/Watch</v>
      </c>
      <c r="AG60" s="17" t="str">
        <f t="shared" ca="1" si="20"/>
        <v>Quarter size or wait</v>
      </c>
    </row>
    <row r="61" spans="1:33" x14ac:dyDescent="0.25">
      <c r="A61" s="30" t="s">
        <v>140</v>
      </c>
      <c r="B61" s="31" t="str" cm="1">
        <f t="array" ref="B61">_xldudf_WISEPRICE(A61, "Name")</f>
        <v>Q2 Holdings, Inc.</v>
      </c>
      <c r="C61" s="23" cm="1">
        <f t="array" ref="C61">_xldudf_WISE(A61, "ROE", $AI$4)</f>
        <v>4.3550834099999998E-2</v>
      </c>
      <c r="D61" s="23" cm="1">
        <f t="array" ref="D61">_xldudf_WISE(A61, "ROIC", $AI$4)</f>
        <v>2.5280027699999999E-2</v>
      </c>
      <c r="E61" s="24" cm="1">
        <f t="array" ref="E61">_xldudf_WISE(A61, "Operating Income", $AI$4)</f>
        <v>28127000</v>
      </c>
      <c r="F61" s="24" cm="1">
        <f t="array" ref="F61">_xldudf_WISE(A61, "Net Income",$AI$4)</f>
        <v>26639000</v>
      </c>
      <c r="G61" s="24" cm="1">
        <f t="array" ref="G61">_xldudf_WISE(A61, "Revenue", $AI$4)</f>
        <v>216506000</v>
      </c>
      <c r="H61" s="23">
        <f t="shared" si="10"/>
        <v>0.123040470010069</v>
      </c>
      <c r="I61" s="23">
        <f t="shared" si="11"/>
        <v>0.12991325875495369</v>
      </c>
      <c r="J61" s="25" cm="1">
        <f t="array" ref="J61">_xldudf_WISE(A61, "Free Cash Flow", $AI$4)/F61</f>
        <v>1.8665865835804647</v>
      </c>
      <c r="K61" s="23" cm="1">
        <f t="array" ref="K61">_xldudf_WISE(A61, "Revenue Growth", $AI$4)</f>
        <v>3.9800000000000002E-2</v>
      </c>
      <c r="L61" s="23" cm="1">
        <f t="array" ref="L61">_xldudf_WISE(A61, "EPS Growth", $AI$4)</f>
        <v>0.30299999999999999</v>
      </c>
      <c r="M61" s="23" cm="1">
        <f t="array" ref="M61">(_xldudf_WISE(A61,"Estimated EPS AVG",2027)-_xldudf_WISE(A61,"Estimated EPS AVG",2026))/_xldudf_WISE(A61,"Estimated EPS AVG",2026)</f>
        <v>0.17814993455380046</v>
      </c>
      <c r="N61" s="26" t="str" cm="1">
        <f t="array" ref="N61">IF(_xldudf_WISE(A61,"EPS","LQ-0")&gt;_xldudf_WISE(A61,"EPS","LQ-1"),"Y","N")</f>
        <v>Y</v>
      </c>
      <c r="O61" s="25" cm="1">
        <f t="array" ref="O61">_xldudf_WISE(A61, "PE Ratio", $AI$4)</f>
        <v>27.671716280599998</v>
      </c>
      <c r="P61" s="25">
        <f t="shared" si="12"/>
        <v>1.553282427518561</v>
      </c>
      <c r="Q61" s="25" cm="1">
        <f t="array" ref="Q61">_xldudf_WISE(A61, "Enterprise Value Over EBITDA", $AI$4)</f>
        <v>61.954668402700001</v>
      </c>
      <c r="R61" s="25" cm="1">
        <f t="array" ref="R61">_xldudf_WISE(A61, "Net Debt To EBITDA", $AI$4)</f>
        <v>3.2970725399999998E-2</v>
      </c>
      <c r="S61" s="25" cm="1">
        <f t="array" ref="S61">_xldudf_WISE(A61, "Current Ratio", $AI$4)</f>
        <v>0.93259411759999999</v>
      </c>
      <c r="T61" s="18" t="str" cm="1">
        <f t="array" ref="T61">_xldudf_WISEPRICE(A61,"Earnings Announcement")</f>
        <v>2026-07-29</v>
      </c>
      <c r="U61" s="19">
        <f t="shared" ca="1" si="13"/>
        <v>85</v>
      </c>
      <c r="V61" s="20">
        <v>40</v>
      </c>
      <c r="W61" s="21">
        <v>9000</v>
      </c>
      <c r="X61" s="22">
        <v>53.4</v>
      </c>
      <c r="Y61" s="15">
        <f t="shared" si="14"/>
        <v>2.8</v>
      </c>
      <c r="Z61" s="15">
        <f t="shared" si="15"/>
        <v>4</v>
      </c>
      <c r="AA61" s="15">
        <f t="shared" si="16"/>
        <v>2.2999999999999998</v>
      </c>
      <c r="AB61" s="15">
        <f t="shared" si="17"/>
        <v>3.5</v>
      </c>
      <c r="AC61" s="15">
        <f t="shared" ca="1" si="18"/>
        <v>5</v>
      </c>
      <c r="AD61" s="15">
        <f t="shared" si="19"/>
        <v>3.3</v>
      </c>
      <c r="AE61" s="16">
        <f ca="1">IFERROR(ROUND(Y61*Weights!$B$6+Z61*Weights!$B$7+AA61*Weights!$B$8+AB61*Weights!$B$9+AC61*Weights!$B$10+AD61*Weights!$B$11,2),"")</f>
        <v>3.36</v>
      </c>
      <c r="AF61" s="14" t="str">
        <f t="shared" ca="1" si="9"/>
        <v>Hold/Watch</v>
      </c>
      <c r="AG61" s="17" t="str">
        <f t="shared" ca="1" si="20"/>
        <v>Quarter size or wait</v>
      </c>
    </row>
    <row r="62" spans="1:33" x14ac:dyDescent="0.25">
      <c r="A62" s="30" t="s">
        <v>148</v>
      </c>
      <c r="B62" s="31" t="str" cm="1">
        <f t="array" ref="B62">_xldudf_WISEPRICE(A62, "Name")</f>
        <v>Jacobs Solutions Inc.</v>
      </c>
      <c r="C62" s="23" cm="1">
        <f t="array" ref="C62">_xldudf_WISE(A62, "ROE", $AI$4)</f>
        <v>3.8675919699999999E-2</v>
      </c>
      <c r="D62" s="23" cm="1">
        <f t="array" ref="D62">_xldudf_WISE(A62, "ROIC", $AI$4)</f>
        <v>1.8422423300000001E-2</v>
      </c>
      <c r="E62" s="24" cm="1">
        <f t="array" ref="E62">_xldudf_WISE(A62, "Operating Income", $AI$4)</f>
        <v>232561000</v>
      </c>
      <c r="F62" s="24" cm="1">
        <f t="array" ref="F62">_xldudf_WISE(A62, "Net Income",$AI$4)</f>
        <v>133196000</v>
      </c>
      <c r="G62" s="24" cm="1">
        <f t="array" ref="G62">_xldudf_WISE(A62, "Revenue", $AI$4)</f>
        <v>3293281000</v>
      </c>
      <c r="H62" s="23">
        <f t="shared" si="10"/>
        <v>4.0444772249923405E-2</v>
      </c>
      <c r="I62" s="23">
        <f t="shared" si="11"/>
        <v>7.0616810408829375E-2</v>
      </c>
      <c r="J62" s="25" cm="1">
        <f t="array" ref="J62">_xldudf_WISE(A62, "Free Cash Flow", $AI$4)/F62</f>
        <v>2.7398645604973124</v>
      </c>
      <c r="K62" s="23" cm="1">
        <f t="array" ref="K62">_xldudf_WISE(A62, "Revenue Growth", $AI$4)</f>
        <v>4.3900000000000002E-2</v>
      </c>
      <c r="L62" s="23" cm="1">
        <f t="array" ref="L62">_xldudf_WISE(A62, "EPS Growth", $AI$4)</f>
        <v>0.20430000000000001</v>
      </c>
      <c r="M62" s="23" cm="1">
        <f t="array" ref="M62">(_xldudf_WISE(A62,"Estimated EPS AVG",2027)-_xldudf_WISE(A62,"Estimated EPS AVG",2026))/_xldudf_WISE(A62,"Estimated EPS AVG",2026)</f>
        <v>0.12889738164469594</v>
      </c>
      <c r="N62" s="26" t="str" cm="1">
        <f t="array" ref="N62">IF(_xldudf_WISE(A62,"EPS","LQ-0")&gt;_xldudf_WISE(A62,"EPS","LQ-1"),"Y","N")</f>
        <v>Y</v>
      </c>
      <c r="O62" s="25" cm="1">
        <f t="array" ref="O62">_xldudf_WISE(A62, "PE Ratio", $AI$4)</f>
        <v>30.112383855400001</v>
      </c>
      <c r="P62" s="25">
        <f t="shared" si="12"/>
        <v>2.3361517100792955</v>
      </c>
      <c r="Q62" s="25" cm="1">
        <f t="array" ref="Q62">_xldudf_WISE(A62, "Enterprise Value Over EBITDA", $AI$4)</f>
        <v>58.150401285000001</v>
      </c>
      <c r="R62" s="25" cm="1">
        <f t="array" ref="R62">_xldudf_WISE(A62, "Net Debt To EBITDA", $AI$4)</f>
        <v>4.6877395146999996</v>
      </c>
      <c r="S62" s="25" cm="1">
        <f t="array" ref="S62">_xldudf_WISE(A62, "Current Ratio", $AI$4)</f>
        <v>1.3295351922</v>
      </c>
      <c r="T62" s="18" t="str" cm="1">
        <f t="array" ref="T62">_xldudf_WISEPRICE(A62,"Earnings Announcement")</f>
        <v>2026-05-05</v>
      </c>
      <c r="U62" s="19">
        <f t="shared" ca="1" si="13"/>
        <v>0</v>
      </c>
      <c r="V62" s="20">
        <v>40</v>
      </c>
      <c r="W62" s="21">
        <v>9000</v>
      </c>
      <c r="X62" s="22">
        <v>54.4</v>
      </c>
      <c r="Y62" s="15">
        <f t="shared" si="14"/>
        <v>2.2000000000000002</v>
      </c>
      <c r="Z62" s="15">
        <f t="shared" si="15"/>
        <v>3.8</v>
      </c>
      <c r="AA62" s="15">
        <f t="shared" si="16"/>
        <v>1.7</v>
      </c>
      <c r="AB62" s="15">
        <f t="shared" si="17"/>
        <v>2</v>
      </c>
      <c r="AC62" s="15">
        <f t="shared" ca="1" si="18"/>
        <v>3.5</v>
      </c>
      <c r="AD62" s="15">
        <f t="shared" si="19"/>
        <v>3.3</v>
      </c>
      <c r="AE62" s="16">
        <f ca="1">IFERROR(ROUND(Y62*Weights!$B$6+Z62*Weights!$B$7+AA62*Weights!$B$8+AB62*Weights!$B$9+AC62*Weights!$B$10+AD62*Weights!$B$11,2),"")</f>
        <v>2.59</v>
      </c>
      <c r="AF62" s="14" t="str">
        <f t="shared" ca="1" si="9"/>
        <v>Pass</v>
      </c>
      <c r="AG62" s="17" t="str">
        <f t="shared" ca="1" si="20"/>
        <v>Skip</v>
      </c>
    </row>
    <row r="63" spans="1:33" x14ac:dyDescent="0.25">
      <c r="A63" s="30" t="s">
        <v>137</v>
      </c>
      <c r="B63" s="31" t="str" cm="1">
        <f t="array" ref="B63">_xldudf_WISEPRICE(A63, "Name")</f>
        <v>MongoDB, Inc.</v>
      </c>
      <c r="C63" s="23" cm="1">
        <f t="array" ref="C63">_xldudf_WISE(A63, "ROE", $AI$4)</f>
        <v>5.2602022000000003E-3</v>
      </c>
      <c r="D63" s="23" cm="1">
        <f t="array" ref="D63">_xldudf_WISE(A63, "ROIC", $AI$4)</f>
        <v>1.29153E-5</v>
      </c>
      <c r="E63" s="24" cm="1">
        <f t="array" ref="E63">_xldudf_WISE(A63, "Operating Income", $AI$4)</f>
        <v>50000</v>
      </c>
      <c r="F63" s="24" cm="1">
        <f t="array" ref="F63">_xldudf_WISE(A63, "Net Income",$AI$4)</f>
        <v>15530000</v>
      </c>
      <c r="G63" s="24" cm="1">
        <f t="array" ref="G63">_xldudf_WISE(A63, "Revenue", $AI$4)</f>
        <v>695072000</v>
      </c>
      <c r="H63" s="23">
        <f t="shared" si="10"/>
        <v>2.2343009069564015E-2</v>
      </c>
      <c r="I63" s="23">
        <f t="shared" si="11"/>
        <v>7.1934993784816543E-5</v>
      </c>
      <c r="J63" s="25" cm="1">
        <f t="array" ref="J63">_xldudf_WISE(A63, "Free Cash Flow", $AI$4)/F63</f>
        <v>11.491951062459755</v>
      </c>
      <c r="K63" s="23" cm="1">
        <f t="array" ref="K63">_xldudf_WISE(A63, "Revenue Growth", $AI$4)</f>
        <v>0.10630000000000001</v>
      </c>
      <c r="L63" s="23" cm="1">
        <f t="array" ref="L63">_xldudf_WISE(A63, "EPS Growth", $AI$4)</f>
        <v>8.6922999999999995</v>
      </c>
      <c r="M63" s="23" cm="1">
        <f t="array" ref="M63">(_xldudf_WISE(A63,"Estimated EPS AVG",2027)-_xldudf_WISE(A63,"Estimated EPS AVG",2026))/_xldudf_WISE(A63,"Estimated EPS AVG",2026)</f>
        <v>0.22512796552977205</v>
      </c>
      <c r="N63" s="26" t="str" cm="1">
        <f t="array" ref="N63">IF(_xldudf_WISE(A63,"EPS","LQ-0")&gt;_xldudf_WISE(A63,"EPS","LQ-1"),"Y","N")</f>
        <v>Y</v>
      </c>
      <c r="O63" s="25" cm="1">
        <f t="array" ref="O63">_xldudf_WISE(A63, "PE Ratio", $AI$4)</f>
        <v>485.87172383839999</v>
      </c>
      <c r="P63" s="25">
        <f t="shared" si="12"/>
        <v>21.58202436978652</v>
      </c>
      <c r="Q63" s="25" cm="1">
        <f t="array" ref="Q63">_xldudf_WISE(A63, "Enterprise Value Over EBITDA", $AI$4)</f>
        <v>1114.6185523736999</v>
      </c>
      <c r="R63" s="25" cm="1">
        <f t="array" ref="R63">_xldudf_WISE(A63, "Net Debt To EBITDA", $AI$4)</f>
        <v>-40.200528007300001</v>
      </c>
      <c r="S63" s="25" cm="1">
        <f t="array" ref="S63">_xldudf_WISE(A63, "Current Ratio", $AI$4)</f>
        <v>4.6525371324</v>
      </c>
      <c r="T63" s="18" t="str" cm="1">
        <f t="array" ref="T63">_xldudf_WISEPRICE(A63,"Earnings Announcement")</f>
        <v>2026-06-04</v>
      </c>
      <c r="U63" s="19">
        <f t="shared" ca="1" si="13"/>
        <v>30</v>
      </c>
      <c r="V63" s="20">
        <v>40</v>
      </c>
      <c r="W63" s="21">
        <v>9000</v>
      </c>
      <c r="X63" s="22">
        <v>55.4</v>
      </c>
      <c r="Y63" s="15">
        <f t="shared" si="14"/>
        <v>1.8</v>
      </c>
      <c r="Z63" s="15">
        <f t="shared" si="15"/>
        <v>4.8</v>
      </c>
      <c r="AA63" s="15">
        <f t="shared" si="16"/>
        <v>1</v>
      </c>
      <c r="AB63" s="15">
        <f t="shared" si="17"/>
        <v>5</v>
      </c>
      <c r="AC63" s="15">
        <f t="shared" ca="1" si="18"/>
        <v>5</v>
      </c>
      <c r="AD63" s="15">
        <f t="shared" si="19"/>
        <v>3.3</v>
      </c>
      <c r="AE63" s="16">
        <f ca="1">IFERROR(ROUND(Y63*Weights!$B$6+Z63*Weights!$B$7+AA63*Weights!$B$8+AB63*Weights!$B$9+AC63*Weights!$B$10+AD63*Weights!$B$11,2),"")</f>
        <v>3.35</v>
      </c>
      <c r="AF63" s="14" t="str">
        <f t="shared" ca="1" si="9"/>
        <v>Hold/Watch</v>
      </c>
      <c r="AG63" s="17" t="str">
        <f t="shared" ca="1" si="20"/>
        <v>Quarter size or wait</v>
      </c>
    </row>
    <row r="64" spans="1:33" x14ac:dyDescent="0.25">
      <c r="A64" s="30" t="s">
        <v>168</v>
      </c>
      <c r="B64" s="31" t="str" cm="1">
        <f t="array" ref="B64">_xldudf_WISEPRICE(A64, "Name")</f>
        <v>ServiceTitan, Inc.</v>
      </c>
      <c r="C64" s="23" cm="1">
        <f t="array" ref="C64">_xldudf_WISE(A64, "ROE", $AI$4)</f>
        <v>-2.7364325700000001E-2</v>
      </c>
      <c r="D64" s="23" cm="1">
        <f t="array" ref="D64">_xldudf_WISE(A64, "ROIC", $AI$4)</f>
        <v>-2.6821509300000001E-2</v>
      </c>
      <c r="E64" s="24" cm="1">
        <f t="array" ref="E64">_xldudf_WISE(A64, "Operating Income", $AI$4)</f>
        <v>-42637000</v>
      </c>
      <c r="F64" s="24" cm="1">
        <f t="array" ref="F64">_xldudf_WISE(A64, "Net Income",$AI$4)</f>
        <v>-41737000</v>
      </c>
      <c r="G64" s="24" cm="1">
        <f t="array" ref="G64">_xldudf_WISE(A64, "Revenue", $AI$4)</f>
        <v>253987000</v>
      </c>
      <c r="H64" s="23">
        <f t="shared" si="10"/>
        <v>-0.16432730809057156</v>
      </c>
      <c r="I64" s="23">
        <f t="shared" si="11"/>
        <v>-0.16787079653683062</v>
      </c>
      <c r="J64" s="25" cm="1">
        <f t="array" ref="J64">_xldudf_WISE(A64, "Free Cash Flow", $AI$4)/F64</f>
        <v>-0.84831204926084769</v>
      </c>
      <c r="K64" s="23" cm="1">
        <f t="array" ref="K64">_xldudf_WISE(A64, "Revenue Growth", $AI$4)</f>
        <v>1.9400000000000001E-2</v>
      </c>
      <c r="L64" s="23" cm="1">
        <f t="array" ref="L64">_xldudf_WISE(A64, "EPS Growth", $AI$4)</f>
        <v>-2.3300000000000001E-2</v>
      </c>
      <c r="M64" s="23" cm="1">
        <f t="array" ref="M64">(_xldudf_WISE(A64,"Estimated EPS AVG",2027)-_xldudf_WISE(A64,"Estimated EPS AVG",2026))/_xldudf_WISE(A64,"Estimated EPS AVG",2026)</f>
        <v>0.37462478559176665</v>
      </c>
      <c r="N64" s="26" t="str" cm="1">
        <f t="array" ref="N64">IF(_xldudf_WISE(A64,"EPS","LQ-0")&gt;_xldudf_WISE(A64,"EPS","LQ-1"),"Y","N")</f>
        <v>N</v>
      </c>
      <c r="O64" s="25" cm="1">
        <f t="array" ref="O64">_xldudf_WISE(A64, "PE Ratio", $AI$4)</f>
        <v>-44.1623285095</v>
      </c>
      <c r="P64" s="25">
        <f t="shared" si="12"/>
        <v>-1.1788416092047962</v>
      </c>
      <c r="Q64" s="25" cm="1">
        <f t="array" ref="Q64">_xldudf_WISE(A64, "Enterprise Value Over EBITDA", $AI$4)</f>
        <v>-351.19320347410002</v>
      </c>
      <c r="R64" s="25" cm="1">
        <f t="array" ref="R64">_xldudf_WISE(A64, "Net Debt To EBITDA", $AI$4)</f>
        <v>18.946483257200001</v>
      </c>
      <c r="S64" s="25" cm="1">
        <f t="array" ref="S64">_xldudf_WISE(A64, "Current Ratio", $AI$4)</f>
        <v>3.4868753393</v>
      </c>
      <c r="T64" s="18" t="str" cm="1">
        <f t="array" ref="T64">_xldudf_WISEPRICE(A64,"Earnings Announcement")</f>
        <v>2026-06-11</v>
      </c>
      <c r="U64" s="19">
        <f t="shared" ca="1" si="13"/>
        <v>37</v>
      </c>
      <c r="V64" s="20">
        <v>40</v>
      </c>
      <c r="W64" s="21">
        <v>9000</v>
      </c>
      <c r="X64" s="22">
        <v>56.4</v>
      </c>
      <c r="Y64" s="15">
        <f t="shared" si="14"/>
        <v>1</v>
      </c>
      <c r="Z64" s="15">
        <f t="shared" si="15"/>
        <v>2.5</v>
      </c>
      <c r="AA64" s="15">
        <f t="shared" si="16"/>
        <v>5</v>
      </c>
      <c r="AB64" s="15">
        <f t="shared" si="17"/>
        <v>3</v>
      </c>
      <c r="AC64" s="15">
        <f t="shared" ca="1" si="18"/>
        <v>5</v>
      </c>
      <c r="AD64" s="15">
        <f t="shared" si="19"/>
        <v>3.3</v>
      </c>
      <c r="AE64" s="16">
        <f ca="1">IFERROR(ROUND(Y64*Weights!$B$6+Z64*Weights!$B$7+AA64*Weights!$B$8+AB64*Weights!$B$9+AC64*Weights!$B$10+AD64*Weights!$B$11,2),"")</f>
        <v>2.98</v>
      </c>
      <c r="AF64" s="14" t="str">
        <f t="shared" ca="1" si="9"/>
        <v>Pass</v>
      </c>
      <c r="AG64" s="17" t="str">
        <f t="shared" ca="1" si="20"/>
        <v>Skip</v>
      </c>
    </row>
    <row r="65" spans="1:33" x14ac:dyDescent="0.25">
      <c r="A65" s="30" t="s">
        <v>142</v>
      </c>
      <c r="B65" s="31" t="str" cm="1">
        <f t="array" ref="B65">_xldudf_WISEPRICE(A65, "Name")</f>
        <v>Grindr Inc.</v>
      </c>
      <c r="C65" s="23" cm="1">
        <f t="array" ref="C65">_xldudf_WISE(A65, "ROE", $AI$4)</f>
        <v>0.43100880740000003</v>
      </c>
      <c r="D65" s="23" cm="1">
        <f t="array" ref="D65">_xldudf_WISE(A65, "ROIC", $AI$4)</f>
        <v>5.26822178E-2</v>
      </c>
      <c r="E65" s="24" cm="1">
        <f t="array" ref="E65">_xldudf_WISE(A65, "Operating Income", $AI$4)</f>
        <v>31309000</v>
      </c>
      <c r="F65" s="24" cm="1">
        <f t="array" ref="F65">_xldudf_WISE(A65, "Net Income",$AI$4)</f>
        <v>20260000</v>
      </c>
      <c r="G65" s="24" cm="1">
        <f t="array" ref="G65">_xldudf_WISE(A65, "Revenue", $AI$4)</f>
        <v>125974000</v>
      </c>
      <c r="H65" s="23">
        <f t="shared" si="10"/>
        <v>0.16082683728388397</v>
      </c>
      <c r="I65" s="23">
        <f t="shared" si="11"/>
        <v>0.24853541206915714</v>
      </c>
      <c r="J65" s="25" cm="1">
        <f t="array" ref="J65">_xldudf_WISE(A65, "Free Cash Flow", $AI$4)/F65</f>
        <v>1.148971865745311</v>
      </c>
      <c r="K65" s="23" cm="1">
        <f t="array" ref="K65">_xldudf_WISE(A65, "Revenue Growth", $AI$4)</f>
        <v>8.8200000000000001E-2</v>
      </c>
      <c r="L65" s="23" cm="1">
        <f t="array" ref="L65">_xldudf_WISE(A65, "EPS Growth", $AI$4)</f>
        <v>-0.3125</v>
      </c>
      <c r="M65" s="23" cm="1">
        <f t="array" ref="M65">(_xldudf_WISE(A65,"Estimated EPS AVG",2027)-_xldudf_WISE(A65,"Estimated EPS AVG",2026))/_xldudf_WISE(A65,"Estimated EPS AVG",2026)</f>
        <v>0.28837209302325589</v>
      </c>
      <c r="N65" s="26" t="str" cm="1">
        <f t="array" ref="N65">IF(_xldudf_WISE(A65,"EPS","LQ-0")&gt;_xldudf_WISE(A65,"EPS","LQ-1"),"Y","N")</f>
        <v>N</v>
      </c>
      <c r="O65" s="25" cm="1">
        <f t="array" ref="O65">_xldudf_WISE(A65, "PE Ratio", $AI$4)</f>
        <v>30.856964955599999</v>
      </c>
      <c r="P65" s="25">
        <f t="shared" si="12"/>
        <v>1.0700399137829029</v>
      </c>
      <c r="Q65" s="25" cm="1">
        <f t="array" ref="Q65">_xldudf_WISE(A65, "Enterprise Value Over EBITDA", $AI$4)</f>
        <v>86.814423984499996</v>
      </c>
      <c r="R65" s="25" cm="1">
        <f t="array" ref="R65">_xldudf_WISE(A65, "Net Debt To EBITDA", $AI$4)</f>
        <v>9.6839085778000005</v>
      </c>
      <c r="S65" s="25" cm="1">
        <f t="array" ref="S65">_xldudf_WISE(A65, "Current Ratio", $AI$4)</f>
        <v>1.9001801631999999</v>
      </c>
      <c r="T65" s="18" t="str" cm="1">
        <f t="array" ref="T65">_xldudf_WISEPRICE(A65,"Earnings Announcement")</f>
        <v>2026-05-07</v>
      </c>
      <c r="U65" s="19">
        <f t="shared" ca="1" si="13"/>
        <v>2</v>
      </c>
      <c r="V65" s="20">
        <v>40</v>
      </c>
      <c r="W65" s="21">
        <v>9000</v>
      </c>
      <c r="X65" s="22">
        <v>57.4</v>
      </c>
      <c r="Y65" s="15">
        <f t="shared" si="14"/>
        <v>4</v>
      </c>
      <c r="Z65" s="15">
        <f t="shared" si="15"/>
        <v>2.8</v>
      </c>
      <c r="AA65" s="15">
        <f t="shared" si="16"/>
        <v>2.2999999999999998</v>
      </c>
      <c r="AB65" s="15">
        <f t="shared" si="17"/>
        <v>2.5</v>
      </c>
      <c r="AC65" s="15">
        <f t="shared" ca="1" si="18"/>
        <v>4</v>
      </c>
      <c r="AD65" s="15">
        <f t="shared" si="19"/>
        <v>3.3</v>
      </c>
      <c r="AE65" s="16">
        <f ca="1">IFERROR(ROUND(Y65*Weights!$B$6+Z65*Weights!$B$7+AA65*Weights!$B$8+AB65*Weights!$B$9+AC65*Weights!$B$10+AD65*Weights!$B$11,2),"")</f>
        <v>3.06</v>
      </c>
      <c r="AF65" s="14" t="str">
        <f t="shared" ca="1" si="9"/>
        <v>Hold/Watch</v>
      </c>
      <c r="AG65" s="17" t="str">
        <f t="shared" ca="1" si="20"/>
        <v>Quarter size or wait</v>
      </c>
    </row>
    <row r="66" spans="1:33" x14ac:dyDescent="0.25">
      <c r="A66" s="30" t="s">
        <v>169</v>
      </c>
      <c r="B66" s="31" t="str" cm="1">
        <f t="array" ref="B66">_xldudf_WISEPRICE(A66, "Name")</f>
        <v>Luckin Coffee Inc.</v>
      </c>
      <c r="C66" s="23" cm="1">
        <f t="array" ref="C66">_xldudf_WISE(A66, "ROE", $AI$4)</f>
        <v>3.1094349800000001E-2</v>
      </c>
      <c r="D66" s="23" cm="1">
        <f t="array" ref="D66">_xldudf_WISE(A66, "ROIC", $AI$4)</f>
        <v>1.8952146499999999E-2</v>
      </c>
      <c r="E66" s="24" cm="1">
        <f t="array" ref="E66">_xldudf_WISE(A66, "Operating Income", $AI$4)</f>
        <v>737968000</v>
      </c>
      <c r="F66" s="24" cm="1">
        <f t="array" ref="F66">_xldudf_WISE(A66, "Net Income",$AI$4)</f>
        <v>506144000</v>
      </c>
      <c r="G66" s="24" cm="1">
        <f t="array" ref="G66">_xldudf_WISE(A66, "Revenue", $AI$4)</f>
        <v>11995482000</v>
      </c>
      <c r="H66" s="23">
        <f t="shared" si="10"/>
        <v>4.2194552915839477E-2</v>
      </c>
      <c r="I66" s="23">
        <f t="shared" si="11"/>
        <v>6.1520495800002031E-2</v>
      </c>
      <c r="J66" s="25" cm="1">
        <f t="array" ref="J66">_xldudf_WISE(A66, "Free Cash Flow", $AI$4)/F66</f>
        <v>0</v>
      </c>
      <c r="K66" s="23" cm="1">
        <f t="array" ref="K66">_xldudf_WISE(A66, "Revenue Growth", $AI$4)</f>
        <v>-4.8000000000000001E-2</v>
      </c>
      <c r="L66" s="23" cm="1">
        <f t="array" ref="L66">_xldudf_WISE(A66, "EPS Growth", $AI$4)</f>
        <v>-6.1999999999999998E-3</v>
      </c>
      <c r="M66" s="23" cm="1">
        <f t="array" ref="M66">(_xldudf_WISE(A66,"Estimated EPS AVG",2027)-_xldudf_WISE(A66,"Estimated EPS AVG",2026))/_xldudf_WISE(A66,"Estimated EPS AVG",2026)</f>
        <v>0.27838482206866649</v>
      </c>
      <c r="N66" s="26" t="str" cm="1">
        <f t="array" ref="N66">IF(_xldudf_WISE(A66,"EPS","LQ-0")&gt;_xldudf_WISE(A66,"EPS","LQ-1"),"Y","N")</f>
        <v>N</v>
      </c>
      <c r="O66" s="25" cm="1">
        <f t="array" ref="O66">_xldudf_WISE(A66, "PE Ratio", $AI$4)</f>
        <v>4.4251895260999996</v>
      </c>
      <c r="P66" s="25">
        <f t="shared" si="12"/>
        <v>0.15895943942692684</v>
      </c>
      <c r="Q66" s="25" cm="1">
        <f t="array" ref="Q66">_xldudf_WISE(A66, "Enterprise Value Over EBITDA", $AI$4)</f>
        <v>9.9434192215999992</v>
      </c>
      <c r="R66" s="25" cm="1">
        <f t="array" ref="R66">_xldudf_WISE(A66, "Net Debt To EBITDA", $AI$4)</f>
        <v>2.6203366001999999</v>
      </c>
      <c r="S66" s="25" cm="1">
        <f t="array" ref="S66">_xldudf_WISE(A66, "Current Ratio", $AI$4)</f>
        <v>1.6695580153</v>
      </c>
      <c r="T66" s="18" t="str" cm="1">
        <f t="array" ref="T66">_xldudf_WISEPRICE(A66,"Earnings Announcement")</f>
        <v>2026-07-29</v>
      </c>
      <c r="U66" s="19">
        <f t="shared" ca="1" si="13"/>
        <v>85</v>
      </c>
      <c r="V66" s="20">
        <v>40</v>
      </c>
      <c r="W66" s="21">
        <v>9000</v>
      </c>
      <c r="X66" s="22">
        <v>58.4</v>
      </c>
      <c r="Y66" s="15">
        <f t="shared" si="14"/>
        <v>1.4</v>
      </c>
      <c r="Z66" s="15">
        <f t="shared" si="15"/>
        <v>2.2999999999999998</v>
      </c>
      <c r="AA66" s="15">
        <f t="shared" si="16"/>
        <v>5</v>
      </c>
      <c r="AB66" s="15">
        <f t="shared" si="17"/>
        <v>3.5</v>
      </c>
      <c r="AC66" s="15">
        <f t="shared" ca="1" si="18"/>
        <v>5</v>
      </c>
      <c r="AD66" s="15">
        <f t="shared" si="19"/>
        <v>3.3</v>
      </c>
      <c r="AE66" s="16">
        <f ca="1">IFERROR(ROUND(Y66*Weights!$B$6+Z66*Weights!$B$7+AA66*Weights!$B$8+AB66*Weights!$B$9+AC66*Weights!$B$10+AD66*Weights!$B$11,2),"")</f>
        <v>3.13</v>
      </c>
      <c r="AF66" s="14" t="str">
        <f t="shared" ca="1" si="9"/>
        <v>Hold/Watch</v>
      </c>
      <c r="AG66" s="17" t="str">
        <f t="shared" ca="1" si="20"/>
        <v>Quarter size or wait</v>
      </c>
    </row>
    <row r="67" spans="1:33" x14ac:dyDescent="0.25">
      <c r="A67" s="30" t="s">
        <v>144</v>
      </c>
      <c r="B67" s="31" t="str" cm="1">
        <f t="array" ref="B67">_xldudf_WISEPRICE(A67, "Name")</f>
        <v>Paycom Software, Inc.</v>
      </c>
      <c r="C67" s="23" cm="1">
        <f t="array" ref="C67">_xldudf_WISE(A67, "ROE", $AI$4)</f>
        <v>6.5723361199999997E-2</v>
      </c>
      <c r="D67" s="23" cm="1">
        <f t="array" ref="D67">_xldudf_WISE(A67, "ROIC", $AI$4)</f>
        <v>4.9750011800000001E-2</v>
      </c>
      <c r="E67" s="24" cm="1">
        <f t="array" ref="E67">_xldudf_WISE(A67, "Operating Income", $AI$4)</f>
        <v>157200000</v>
      </c>
      <c r="F67" s="24" cm="1">
        <f t="array" ref="F67">_xldudf_WISE(A67, "Net Income",$AI$4)</f>
        <v>113800000</v>
      </c>
      <c r="G67" s="24" cm="1">
        <f t="array" ref="G67">_xldudf_WISE(A67, "Revenue", $AI$4)</f>
        <v>544300000</v>
      </c>
      <c r="H67" s="23">
        <f t="shared" si="10"/>
        <v>0.20907587727356236</v>
      </c>
      <c r="I67" s="23">
        <f t="shared" si="11"/>
        <v>0.28881131728826015</v>
      </c>
      <c r="J67" s="25" cm="1">
        <f t="array" ref="J67">_xldudf_WISE(A67, "Free Cash Flow", $AI$4)/F67</f>
        <v>1.077328646748682</v>
      </c>
      <c r="K67" s="23" cm="1">
        <f t="array" ref="K67">_xldudf_WISE(A67, "Revenue Growth", $AI$4)</f>
        <v>0.10340000000000001</v>
      </c>
      <c r="L67" s="23" cm="1">
        <f t="array" ref="L67">_xldudf_WISE(A67, "EPS Growth", $AI$4)</f>
        <v>5.0799999999999998E-2</v>
      </c>
      <c r="M67" s="23" cm="1">
        <f t="array" ref="M67">(_xldudf_WISE(A67,"Estimated EPS AVG",2027)-_xldudf_WISE(A67,"Estimated EPS AVG",2026))/_xldudf_WISE(A67,"Estimated EPS AVG",2026)</f>
        <v>0.11166084936146067</v>
      </c>
      <c r="N67" s="26" t="str" cm="1">
        <f t="array" ref="N67">IF(_xldudf_WISE(A67,"EPS","LQ-0")&gt;_xldudf_WISE(A67,"EPS","LQ-1"),"Y","N")</f>
        <v>Y</v>
      </c>
      <c r="O67" s="25" cm="1">
        <f t="array" ref="O67">_xldudf_WISE(A67, "PE Ratio", $AI$4)</f>
        <v>19.219824253100001</v>
      </c>
      <c r="P67" s="25">
        <f t="shared" si="12"/>
        <v>1.7212679612424346</v>
      </c>
      <c r="Q67" s="25" cm="1">
        <f t="array" ref="Q67">_xldudf_WISE(A67, "Enterprise Value Over EBITDA", $AI$4)</f>
        <v>40.740515759300003</v>
      </c>
      <c r="R67" s="25" cm="1">
        <f t="array" ref="R67">_xldudf_WISE(A67, "Net Debt To EBITDA", $AI$4)</f>
        <v>-1.0401146132000001</v>
      </c>
      <c r="S67" s="25" cm="1">
        <f t="array" ref="S67">_xldudf_WISE(A67, "Current Ratio", $AI$4)</f>
        <v>1.0876238730000001</v>
      </c>
      <c r="T67" s="18" t="str" cm="1">
        <f t="array" ref="T67">_xldudf_WISEPRICE(A67,"Earnings Announcement")</f>
        <v>2026-05-06</v>
      </c>
      <c r="U67" s="19">
        <f t="shared" ca="1" si="13"/>
        <v>1</v>
      </c>
      <c r="V67" s="20">
        <v>40</v>
      </c>
      <c r="W67" s="21">
        <v>9000</v>
      </c>
      <c r="X67" s="22">
        <v>59.4</v>
      </c>
      <c r="Y67" s="15">
        <f t="shared" si="14"/>
        <v>3.6</v>
      </c>
      <c r="Z67" s="15">
        <f t="shared" si="15"/>
        <v>4</v>
      </c>
      <c r="AA67" s="15">
        <f t="shared" si="16"/>
        <v>2.7</v>
      </c>
      <c r="AB67" s="15">
        <f t="shared" si="17"/>
        <v>4</v>
      </c>
      <c r="AC67" s="15">
        <f t="shared" ca="1" si="18"/>
        <v>4</v>
      </c>
      <c r="AD67" s="15">
        <f t="shared" si="19"/>
        <v>3.3</v>
      </c>
      <c r="AE67" s="16">
        <f ca="1">IFERROR(ROUND(Y67*Weights!$B$6+Z67*Weights!$B$7+AA67*Weights!$B$8+AB67*Weights!$B$9+AC67*Weights!$B$10+AD67*Weights!$B$11,2),"")</f>
        <v>3.64</v>
      </c>
      <c r="AF67" s="14" t="str">
        <f t="shared" ca="1" si="9"/>
        <v>Buy</v>
      </c>
      <c r="AG67" s="17" t="str">
        <f t="shared" ca="1" si="20"/>
        <v>Half size — ITM call preferred</v>
      </c>
    </row>
    <row r="68" spans="1:33" x14ac:dyDescent="0.25">
      <c r="A68" s="30" t="s">
        <v>143</v>
      </c>
      <c r="B68" s="31" t="str" cm="1">
        <f t="array" ref="B68">_xldudf_WISEPRICE(A68, "Name")</f>
        <v>Mid-America Apartment Communities, Inc.</v>
      </c>
      <c r="C68" s="23" cm="1">
        <f t="array" ref="C68">_xldudf_WISE(A68, "ROE", $AI$4)</f>
        <v>2.2371458399999999E-2</v>
      </c>
      <c r="D68" s="23" cm="1">
        <f t="array" ref="D68">_xldudf_WISE(A68, "ROIC", $AI$4)</f>
        <v>1.17509612E-2</v>
      </c>
      <c r="E68" s="24" cm="1">
        <f t="array" ref="E68">_xldudf_WISE(A68, "Operating Income", $AI$4)</f>
        <v>147106000</v>
      </c>
      <c r="F68" s="24" cm="1">
        <f t="array" ref="F68">_xldudf_WISE(A68, "Net Income",$AI$4)</f>
        <v>124359000</v>
      </c>
      <c r="G68" s="24" cm="1">
        <f t="array" ref="G68">_xldudf_WISE(A68, "Revenue", $AI$4)</f>
        <v>553725000</v>
      </c>
      <c r="H68" s="23">
        <f t="shared" si="10"/>
        <v>0.22458621156711364</v>
      </c>
      <c r="I68" s="23">
        <f t="shared" si="11"/>
        <v>0.26566617003024967</v>
      </c>
      <c r="J68" s="25" cm="1">
        <f t="array" ref="J68">_xldudf_WISE(A68, "Free Cash Flow", $AI$4)/F68</f>
        <v>0.12881255076029882</v>
      </c>
      <c r="K68" s="23" cm="1">
        <f t="array" ref="K68">_xldudf_WISE(A68, "Revenue Growth", $AI$4)</f>
        <v>-3.3E-3</v>
      </c>
      <c r="L68" s="23" cm="1">
        <f t="array" ref="L68">_xldudf_WISE(A68, "EPS Growth", $AI$4)</f>
        <v>1.2082999999999999</v>
      </c>
      <c r="M68" s="23" cm="1">
        <f t="array" ref="M68">(_xldudf_WISE(A68,"Estimated EPS AVG",2027)-_xldudf_WISE(A68,"Estimated EPS AVG",2026))/_xldudf_WISE(A68,"Estimated EPS AVG",2026)</f>
        <v>-1.1487683262632933E-2</v>
      </c>
      <c r="N68" s="26" t="str" cm="1">
        <f t="array" ref="N68">IF(_xldudf_WISE(A68,"EPS","LQ-0")&gt;_xldudf_WISE(A68,"EPS","LQ-1"),"Y","N")</f>
        <v>Y</v>
      </c>
      <c r="O68" s="25" cm="1">
        <f t="array" ref="O68">_xldudf_WISE(A68, "PE Ratio", $AI$4)</f>
        <v>28.5885805594</v>
      </c>
      <c r="P68" s="25">
        <f t="shared" si="12"/>
        <v>-24.886288998228881</v>
      </c>
      <c r="Q68" s="25" cm="1">
        <f t="array" ref="Q68">_xldudf_WISE(A68, "Enterprise Value Over EBITDA", $AI$4)</f>
        <v>64.023613953099996</v>
      </c>
      <c r="R68" s="25" cm="1">
        <f t="array" ref="R68">_xldudf_WISE(A68, "Net Debt To EBITDA", $AI$4)</f>
        <v>18.022730360400001</v>
      </c>
      <c r="S68" s="25" cm="1">
        <f t="array" ref="S68">_xldudf_WISE(A68, "Current Ratio", $AI$4)</f>
        <v>0</v>
      </c>
      <c r="T68" s="18" t="str" cm="1">
        <f t="array" ref="T68">_xldudf_WISEPRICE(A68,"Earnings Announcement")</f>
        <v>2026-07-29</v>
      </c>
      <c r="U68" s="19">
        <f t="shared" ca="1" si="13"/>
        <v>85</v>
      </c>
      <c r="V68" s="20">
        <v>40</v>
      </c>
      <c r="W68" s="21">
        <v>9000</v>
      </c>
      <c r="X68" s="22">
        <v>60.4</v>
      </c>
      <c r="Y68" s="15">
        <f t="shared" si="14"/>
        <v>2.6</v>
      </c>
      <c r="Z68" s="15">
        <f t="shared" si="15"/>
        <v>3</v>
      </c>
      <c r="AA68" s="15">
        <f t="shared" si="16"/>
        <v>2.7</v>
      </c>
      <c r="AB68" s="15">
        <f t="shared" si="17"/>
        <v>1</v>
      </c>
      <c r="AC68" s="15">
        <f t="shared" ca="1" si="18"/>
        <v>5</v>
      </c>
      <c r="AD68" s="15">
        <f t="shared" si="19"/>
        <v>3.3</v>
      </c>
      <c r="AE68" s="16">
        <f ca="1">IFERROR(ROUND(Y68*Weights!$B$6+Z68*Weights!$B$7+AA68*Weights!$B$8+AB68*Weights!$B$9+AC68*Weights!$B$10+AD68*Weights!$B$11,2),"")</f>
        <v>2.64</v>
      </c>
      <c r="AF68" s="14" t="str">
        <f t="shared" ref="AF68:AF81" ca="1" si="21">IF(AE68="","",IF(AE68&gt;=4,"Strong Buy",IF(AE68&gt;=3.5,"Buy",IF(AE68&gt;=3,"Hold/Watch","Pass"))))</f>
        <v>Pass</v>
      </c>
      <c r="AG68" s="17" t="str">
        <f t="shared" ca="1" si="20"/>
        <v>Skip</v>
      </c>
    </row>
    <row r="69" spans="1:33" ht="25.5" x14ac:dyDescent="0.25">
      <c r="A69" s="30" t="s">
        <v>132</v>
      </c>
      <c r="B69" s="31" t="str" cm="1">
        <f t="array" ref="B69">_xldudf_WISEPRICE(A69, "Name")</f>
        <v>Wix.com Ltd.</v>
      </c>
      <c r="C69" s="23" cm="1">
        <f t="array" ref="C69">_xldudf_WISE(A69, "ROE", $AI$4)</f>
        <v>0.109928361</v>
      </c>
      <c r="D69" s="23" cm="1">
        <f t="array" ref="D69">_xldudf_WISE(A69, "ROIC", $AI$4)</f>
        <v>-3.08323647E-2</v>
      </c>
      <c r="E69" s="24" cm="1">
        <f t="array" ref="E69">_xldudf_WISE(A69, "Operating Income", $AI$4)</f>
        <v>-72588000</v>
      </c>
      <c r="F69" s="24" cm="1">
        <f t="array" ref="F69">_xldudf_WISE(A69, "Net Income",$AI$4)</f>
        <v>-40234000</v>
      </c>
      <c r="G69" s="24" cm="1">
        <f t="array" ref="G69">_xldudf_WISE(A69, "Revenue", $AI$4)</f>
        <v>524269000</v>
      </c>
      <c r="H69" s="23">
        <f t="shared" si="10"/>
        <v>-7.6743046031712725E-2</v>
      </c>
      <c r="I69" s="23">
        <f t="shared" si="11"/>
        <v>-0.1384556401389363</v>
      </c>
      <c r="J69" s="25" cm="1">
        <f t="array" ref="J69">_xldudf_WISE(A69, "Free Cash Flow", $AI$4)/F69</f>
        <v>-4.2633349903067055</v>
      </c>
      <c r="K69" s="23" cm="1">
        <f t="array" ref="K69">_xldudf_WISE(A69, "Revenue Growth", $AI$4)</f>
        <v>3.78E-2</v>
      </c>
      <c r="L69" s="23" cm="1">
        <f t="array" ref="L69">_xldudf_WISE(A69, "EPS Growth", $AI$4)</f>
        <v>-67.867900000000006</v>
      </c>
      <c r="M69" s="23" cm="1">
        <f t="array" ref="M69">(_xldudf_WISE(A69,"Estimated EPS AVG",2027)-_xldudf_WISE(A69,"Estimated EPS AVG",2026))/_xldudf_WISE(A69,"Estimated EPS AVG",2026)</f>
        <v>0.31224490475889038</v>
      </c>
      <c r="N69" s="26" t="str" cm="1">
        <f t="array" ref="N69">IF(_xldudf_WISE(A69,"EPS","LQ-0")&gt;_xldudf_WISE(A69,"EPS","LQ-1"),"Y","N")</f>
        <v>N</v>
      </c>
      <c r="O69" s="25" cm="1">
        <f t="array" ref="O69">_xldudf_WISE(A69, "PE Ratio", $AI$4)</f>
        <v>-35.468945619099998</v>
      </c>
      <c r="P69" s="25">
        <f t="shared" si="12"/>
        <v>-1.1359335277700833</v>
      </c>
      <c r="Q69" s="25" cm="1">
        <f t="array" ref="Q69">_xldudf_WISE(A69, "Enterprise Value Over EBITDA", $AI$4)</f>
        <v>-109.7341404846</v>
      </c>
      <c r="R69" s="25" cm="1">
        <f t="array" ref="R69">_xldudf_WISE(A69, "Net Debt To EBITDA", $AI$4)</f>
        <v>-20.035686225199999</v>
      </c>
      <c r="S69" s="25" cm="1">
        <f t="array" ref="S69">_xldudf_WISE(A69, "Current Ratio", $AI$4)</f>
        <v>1.1899527349000001</v>
      </c>
      <c r="T69" s="18" t="str" cm="1">
        <f t="array" ref="T69">_xldudf_WISEPRICE(A69,"Earnings Announcement")</f>
        <v>2026-05-13</v>
      </c>
      <c r="U69" s="19">
        <f t="shared" ca="1" si="13"/>
        <v>8</v>
      </c>
      <c r="V69" s="20">
        <v>40</v>
      </c>
      <c r="W69" s="21">
        <v>9000</v>
      </c>
      <c r="X69" s="22">
        <v>61.4</v>
      </c>
      <c r="Y69" s="15">
        <f t="shared" si="14"/>
        <v>1.4</v>
      </c>
      <c r="Z69" s="15">
        <f t="shared" si="15"/>
        <v>2.5</v>
      </c>
      <c r="AA69" s="15">
        <f t="shared" si="16"/>
        <v>5</v>
      </c>
      <c r="AB69" s="15">
        <f t="shared" si="17"/>
        <v>4</v>
      </c>
      <c r="AC69" s="15">
        <f t="shared" ca="1" si="18"/>
        <v>5</v>
      </c>
      <c r="AD69" s="15">
        <f t="shared" si="19"/>
        <v>3.3</v>
      </c>
      <c r="AE69" s="16">
        <f ca="1">IFERROR(ROUND(Y69*Weights!$B$6+Z69*Weights!$B$7+AA69*Weights!$B$8+AB69*Weights!$B$9+AC69*Weights!$B$10+AD69*Weights!$B$11,2),"")</f>
        <v>3.28</v>
      </c>
      <c r="AF69" s="14" t="str">
        <f t="shared" ca="1" si="21"/>
        <v>Hold/Watch</v>
      </c>
      <c r="AG69" s="17" t="str">
        <f t="shared" ca="1" si="20"/>
        <v>Quarter size or wait</v>
      </c>
    </row>
    <row r="70" spans="1:33" x14ac:dyDescent="0.25">
      <c r="A70" s="30" t="s">
        <v>146</v>
      </c>
      <c r="B70" s="31" t="str" cm="1">
        <f t="array" ref="B70">_xldudf_WISEPRICE(A70, "Name")</f>
        <v>Guidewire Software, Inc.</v>
      </c>
      <c r="C70" s="23" cm="1">
        <f t="array" ref="C70">_xldudf_WISE(A70, "ROE", $AI$4)</f>
        <v>3.9791661399999997E-2</v>
      </c>
      <c r="D70" s="23" cm="1">
        <f t="array" ref="D70">_xldudf_WISE(A70, "ROIC", $AI$4)</f>
        <v>1.40430229E-2</v>
      </c>
      <c r="E70" s="24" cm="1">
        <f t="array" ref="E70">_xldudf_WISE(A70, "Operating Income", $AI$4)</f>
        <v>38888000</v>
      </c>
      <c r="F70" s="24" cm="1">
        <f t="array" ref="F70">_xldudf_WISE(A70, "Net Income",$AI$4)</f>
        <v>60110000</v>
      </c>
      <c r="G70" s="24" cm="1">
        <f t="array" ref="G70">_xldudf_WISE(A70, "Revenue", $AI$4)</f>
        <v>359095000</v>
      </c>
      <c r="H70" s="23">
        <f t="shared" si="10"/>
        <v>0.16739302969966166</v>
      </c>
      <c r="I70" s="23">
        <f t="shared" si="11"/>
        <v>0.1082944624681491</v>
      </c>
      <c r="J70" s="25" cm="1">
        <f t="array" ref="J70">_xldudf_WISE(A70, "Free Cash Flow", $AI$4)/F70</f>
        <v>1.809382798203294</v>
      </c>
      <c r="K70" s="23" cm="1">
        <f t="array" ref="K70">_xldudf_WISE(A70, "Revenue Growth", $AI$4)</f>
        <v>7.9500000000000001E-2</v>
      </c>
      <c r="L70" s="23" cm="1">
        <f t="array" ref="L70">_xldudf_WISE(A70, "EPS Growth", $AI$4)</f>
        <v>0.91890000000000005</v>
      </c>
      <c r="M70" s="23" cm="1">
        <f t="array" ref="M70">(_xldudf_WISE(A70,"Estimated EPS AVG",2027)-_xldudf_WISE(A70,"Estimated EPS AVG",2026))/_xldudf_WISE(A70,"Estimated EPS AVG",2026)</f>
        <v>0.21167235494880535</v>
      </c>
      <c r="N70" s="26" t="str" cm="1">
        <f t="array" ref="N70">IF(_xldudf_WISE(A70,"EPS","LQ-0")&gt;_xldudf_WISE(A70,"EPS","LQ-1"),"Y","N")</f>
        <v>Y</v>
      </c>
      <c r="O70" s="25" cm="1">
        <f t="array" ref="O70">_xldudf_WISE(A70, "PE Ratio", $AI$4)</f>
        <v>49.655419998299998</v>
      </c>
      <c r="P70" s="25">
        <f t="shared" si="12"/>
        <v>2.3458623120770565</v>
      </c>
      <c r="Q70" s="25" cm="1">
        <f t="array" ref="Q70">_xldudf_WISE(A70, "Enterprise Value Over EBITDA", $AI$4)</f>
        <v>224.80615808190001</v>
      </c>
      <c r="R70" s="25" cm="1">
        <f t="array" ref="R70">_xldudf_WISE(A70, "Net Debt To EBITDA", $AI$4)</f>
        <v>5.4574683079000001</v>
      </c>
      <c r="S70" s="25" cm="1">
        <f t="array" ref="S70">_xldudf_WISE(A70, "Current Ratio", $AI$4)</f>
        <v>2.9329800885999999</v>
      </c>
      <c r="T70" s="18" t="str" cm="1">
        <f t="array" ref="T70">_xldudf_WISEPRICE(A70,"Earnings Announcement")</f>
        <v>2026-06-02</v>
      </c>
      <c r="U70" s="19">
        <f t="shared" ca="1" si="13"/>
        <v>28</v>
      </c>
      <c r="V70" s="20">
        <v>40</v>
      </c>
      <c r="W70" s="21">
        <v>9000</v>
      </c>
      <c r="X70" s="22">
        <v>62.4</v>
      </c>
      <c r="Y70" s="15">
        <f t="shared" si="14"/>
        <v>2.8</v>
      </c>
      <c r="Z70" s="15">
        <f t="shared" si="15"/>
        <v>4.5</v>
      </c>
      <c r="AA70" s="15">
        <f t="shared" si="16"/>
        <v>1.3</v>
      </c>
      <c r="AB70" s="15">
        <f t="shared" si="17"/>
        <v>3</v>
      </c>
      <c r="AC70" s="15">
        <f t="shared" ca="1" si="18"/>
        <v>5</v>
      </c>
      <c r="AD70" s="15">
        <f t="shared" si="19"/>
        <v>3.3</v>
      </c>
      <c r="AE70" s="16">
        <f ca="1">IFERROR(ROUND(Y70*Weights!$B$6+Z70*Weights!$B$7+AA70*Weights!$B$8+AB70*Weights!$B$9+AC70*Weights!$B$10+AD70*Weights!$B$11,2),"")</f>
        <v>3.19</v>
      </c>
      <c r="AF70" s="14" t="str">
        <f t="shared" ca="1" si="21"/>
        <v>Hold/Watch</v>
      </c>
      <c r="AG70" s="17" t="str">
        <f t="shared" ca="1" si="20"/>
        <v>Quarter size or wait</v>
      </c>
    </row>
    <row r="71" spans="1:33" x14ac:dyDescent="0.25">
      <c r="A71" s="30" t="s">
        <v>150</v>
      </c>
      <c r="B71" s="31" t="str" cm="1">
        <f t="array" ref="B71">_xldudf_WISEPRICE(A71, "Name")</f>
        <v>Sezzle Inc.</v>
      </c>
      <c r="C71" s="23" cm="1">
        <f t="array" ref="C71">_xldudf_WISE(A71, "ROE", $AI$4)</f>
        <v>0.2514030304</v>
      </c>
      <c r="D71" s="23" cm="1">
        <f t="array" ref="D71">_xldudf_WISE(A71, "ROIC", $AI$4)</f>
        <v>0.1472805579</v>
      </c>
      <c r="E71" s="24" cm="1">
        <f t="array" ref="E71">_xldudf_WISE(A71, "Operating Income", $AI$4)</f>
        <v>55247000</v>
      </c>
      <c r="F71" s="24" cm="1">
        <f t="array" ref="F71">_xldudf_WISE(A71, "Net Income",$AI$4)</f>
        <v>42691000</v>
      </c>
      <c r="G71" s="24" cm="1">
        <f t="array" ref="G71">_xldudf_WISE(A71, "Revenue", $AI$4)</f>
        <v>129869000</v>
      </c>
      <c r="H71" s="23">
        <f t="shared" si="10"/>
        <v>0.3287235598949711</v>
      </c>
      <c r="I71" s="23">
        <f t="shared" si="11"/>
        <v>0.42540560102872893</v>
      </c>
      <c r="J71" s="25" cm="1">
        <f t="array" ref="J71">_xldudf_WISE(A71, "Free Cash Flow", $AI$4)/F71</f>
        <v>3.6126584057529691</v>
      </c>
      <c r="K71" s="23" cm="1">
        <f t="array" ref="K71">_xldudf_WISE(A71, "Revenue Growth", $AI$4)</f>
        <v>0.1119</v>
      </c>
      <c r="L71" s="23" cm="1">
        <f t="array" ref="L71">_xldudf_WISE(A71, "EPS Growth", $AI$4)</f>
        <v>0.61539999999999995</v>
      </c>
      <c r="M71" s="23" cm="1">
        <f t="array" ref="M71">(_xldudf_WISE(A71,"Estimated EPS AVG",2027)-_xldudf_WISE(A71,"Estimated EPS AVG",2026))/_xldudf_WISE(A71,"Estimated EPS AVG",2026)</f>
        <v>0.2743567037346093</v>
      </c>
      <c r="N71" s="26" t="str" cm="1">
        <f t="array" ref="N71">IF(_xldudf_WISE(A71,"EPS","LQ-0")&gt;_xldudf_WISE(A71,"EPS","LQ-1"),"Y","N")</f>
        <v>Y</v>
      </c>
      <c r="O71" s="25" cm="1">
        <f t="array" ref="O71">_xldudf_WISE(A71, "PE Ratio", $AI$4)</f>
        <v>12.6057412569</v>
      </c>
      <c r="P71" s="25">
        <f t="shared" si="12"/>
        <v>0.45946539979915285</v>
      </c>
      <c r="Q71" s="25" cm="1">
        <f t="array" ref="Q71">_xldudf_WISE(A71, "Enterprise Value Over EBITDA", $AI$4)</f>
        <v>40.067668416099998</v>
      </c>
      <c r="R71" s="25" cm="1">
        <f t="array" ref="R71">_xldudf_WISE(A71, "Net Debt To EBITDA", $AI$4)</f>
        <v>1.3767704364</v>
      </c>
      <c r="S71" s="25" cm="1">
        <f t="array" ref="S71">_xldudf_WISE(A71, "Current Ratio", $AI$4)</f>
        <v>3.9197914578000002</v>
      </c>
      <c r="T71" s="18" t="str" cm="1">
        <f t="array" ref="T71">_xldudf_WISEPRICE(A71,"Earnings Announcement")</f>
        <v>2026-05-06</v>
      </c>
      <c r="U71" s="19">
        <f t="shared" ca="1" si="13"/>
        <v>1</v>
      </c>
      <c r="V71" s="20">
        <v>40</v>
      </c>
      <c r="W71" s="21">
        <v>9000</v>
      </c>
      <c r="X71" s="22">
        <v>63.4</v>
      </c>
      <c r="Y71" s="15">
        <f t="shared" si="14"/>
        <v>4.8</v>
      </c>
      <c r="Z71" s="15">
        <f t="shared" si="15"/>
        <v>4.8</v>
      </c>
      <c r="AA71" s="15">
        <f t="shared" si="16"/>
        <v>3.7</v>
      </c>
      <c r="AB71" s="15">
        <f t="shared" si="17"/>
        <v>4.5</v>
      </c>
      <c r="AC71" s="15">
        <f t="shared" ca="1" si="18"/>
        <v>4</v>
      </c>
      <c r="AD71" s="15">
        <f t="shared" si="19"/>
        <v>3.3</v>
      </c>
      <c r="AE71" s="16">
        <f ca="1">IFERROR(ROUND(Y71*Weights!$B$6+Z71*Weights!$B$7+AA71*Weights!$B$8+AB71*Weights!$B$9+AC71*Weights!$B$10+AD71*Weights!$B$11,2),"")</f>
        <v>4.4400000000000004</v>
      </c>
      <c r="AF71" s="14" t="str">
        <f t="shared" ca="1" si="21"/>
        <v>Strong Buy</v>
      </c>
      <c r="AG71" s="17" t="str">
        <f t="shared" ca="1" si="20"/>
        <v>Full size — stock or ITM call</v>
      </c>
    </row>
    <row r="72" spans="1:33" x14ac:dyDescent="0.25">
      <c r="A72" s="30" t="s">
        <v>147</v>
      </c>
      <c r="B72" s="31" t="str" cm="1">
        <f t="array" ref="B72">_xldudf_WISEPRICE(A72, "Name")</f>
        <v>Paylocity Holding Corporation</v>
      </c>
      <c r="C72" s="23" cm="1">
        <f t="array" ref="C72">_xldudf_WISE(A72, "ROE", $AI$4)</f>
        <v>4.5703646000000001E-2</v>
      </c>
      <c r="D72" s="23" cm="1">
        <f t="array" ref="D72">_xldudf_WISE(A72, "ROIC", $AI$4)</f>
        <v>3.8758912299999997E-2</v>
      </c>
      <c r="E72" s="24" cm="1">
        <f t="array" ref="E72">_xldudf_WISE(A72, "Operating Income", $AI$4)</f>
        <v>70600000</v>
      </c>
      <c r="F72" s="24" cm="1">
        <f t="array" ref="F72">_xldudf_WISE(A72, "Net Income",$AI$4)</f>
        <v>50197000</v>
      </c>
      <c r="G72" s="24" cm="1">
        <f t="array" ref="G72">_xldudf_WISE(A72, "Revenue", $AI$4)</f>
        <v>416134000</v>
      </c>
      <c r="H72" s="23">
        <f t="shared" si="10"/>
        <v>0.12062700956903305</v>
      </c>
      <c r="I72" s="23">
        <f t="shared" si="11"/>
        <v>0.16965688936736725</v>
      </c>
      <c r="J72" s="25" cm="1">
        <f t="array" ref="J72">_xldudf_WISE(A72, "Free Cash Flow", $AI$4)/F72</f>
        <v>2.2638006255353904</v>
      </c>
      <c r="K72" s="23" cm="1">
        <f t="array" ref="K72">_xldudf_WISE(A72, "Revenue Growth", $AI$4)</f>
        <v>1.95E-2</v>
      </c>
      <c r="L72" s="23" cm="1">
        <f t="array" ref="L72">_xldudf_WISE(A72, "EPS Growth", $AI$4)</f>
        <v>6.9000000000000006E-2</v>
      </c>
      <c r="M72" s="23" cm="1">
        <f t="array" ref="M72">(_xldudf_WISE(A72,"Estimated EPS AVG",2027)-_xldudf_WISE(A72,"Estimated EPS AVG",2026))/_xldudf_WISE(A72,"Estimated EPS AVG",2026)</f>
        <v>7.476457449616053E-2</v>
      </c>
      <c r="N72" s="26" t="str" cm="1">
        <f t="array" ref="N72">IF(_xldudf_WISE(A72,"EPS","LQ-0")&gt;_xldudf_WISE(A72,"EPS","LQ-1"),"Y","N")</f>
        <v>Y</v>
      </c>
      <c r="O72" s="25" cm="1">
        <f t="array" ref="O72">_xldudf_WISE(A72, "PE Ratio", $AI$4)</f>
        <v>41.431136322900002</v>
      </c>
      <c r="P72" s="25">
        <f t="shared" si="12"/>
        <v>5.541546461289319</v>
      </c>
      <c r="Q72" s="25" cm="1">
        <f t="array" ref="Q72">_xldudf_WISE(A72, "Enterprise Value Over EBITDA", $AI$4)</f>
        <v>85.057144315200006</v>
      </c>
      <c r="R72" s="25" cm="1">
        <f t="array" ref="R72">_xldudf_WISE(A72, "Net Debt To EBITDA", $AI$4)</f>
        <v>0.15333741579999999</v>
      </c>
      <c r="S72" s="25" cm="1">
        <f t="array" ref="S72">_xldudf_WISE(A72, "Current Ratio", $AI$4)</f>
        <v>6.7576144899999996E-2</v>
      </c>
      <c r="T72" s="18" t="str" cm="1">
        <f t="array" ref="T72">_xldudf_WISEPRICE(A72,"Earnings Announcement")</f>
        <v>2026-05-07</v>
      </c>
      <c r="U72" s="19">
        <f t="shared" ca="1" si="13"/>
        <v>2</v>
      </c>
      <c r="V72" s="20">
        <v>40</v>
      </c>
      <c r="W72" s="21">
        <v>9000</v>
      </c>
      <c r="X72" s="22">
        <v>64.400000000000006</v>
      </c>
      <c r="Y72" s="15">
        <f t="shared" si="14"/>
        <v>3</v>
      </c>
      <c r="Z72" s="15">
        <f t="shared" si="15"/>
        <v>3.3</v>
      </c>
      <c r="AA72" s="15">
        <f t="shared" si="16"/>
        <v>1</v>
      </c>
      <c r="AB72" s="15">
        <f t="shared" si="17"/>
        <v>3</v>
      </c>
      <c r="AC72" s="15">
        <f t="shared" ca="1" si="18"/>
        <v>4</v>
      </c>
      <c r="AD72" s="15">
        <f t="shared" si="19"/>
        <v>3.3</v>
      </c>
      <c r="AE72" s="16">
        <f ca="1">IFERROR(ROUND(Y72*Weights!$B$6+Z72*Weights!$B$7+AA72*Weights!$B$8+AB72*Weights!$B$9+AC72*Weights!$B$10+AD72*Weights!$B$11,2),"")</f>
        <v>2.78</v>
      </c>
      <c r="AF72" s="14" t="str">
        <f t="shared" ca="1" si="21"/>
        <v>Pass</v>
      </c>
      <c r="AG72" s="17" t="str">
        <f t="shared" ca="1" si="20"/>
        <v>Skip</v>
      </c>
    </row>
    <row r="73" spans="1:33" x14ac:dyDescent="0.25">
      <c r="A73" s="30" t="s">
        <v>170</v>
      </c>
      <c r="B73" s="31" t="str" cm="1">
        <f t="array" ref="B73">_xldudf_WISEPRICE(A73, "Name")</f>
        <v>Impinj, Inc.</v>
      </c>
      <c r="C73" s="23" cm="1">
        <f t="array" ref="C73">_xldudf_WISE(A73, "ROE", $AI$4)</f>
        <v>-0.12388551590000001</v>
      </c>
      <c r="D73" s="23" cm="1">
        <f t="array" ref="D73">_xldudf_WISE(A73, "ROIC", $AI$4)</f>
        <v>-3.21666013E-2</v>
      </c>
      <c r="E73" s="24" cm="1">
        <f t="array" ref="E73">_xldudf_WISE(A73, "Operating Income", $AI$4)</f>
        <v>-15168000</v>
      </c>
      <c r="F73" s="24" cm="1">
        <f t="array" ref="F73">_xldudf_WISE(A73, "Net Income",$AI$4)</f>
        <v>-25261000</v>
      </c>
      <c r="G73" s="24" cm="1">
        <f t="array" ref="G73">_xldudf_WISE(A73, "Revenue", $AI$4)</f>
        <v>74250000</v>
      </c>
      <c r="H73" s="23">
        <f t="shared" ref="H73:H81" si="22">F73/G73</f>
        <v>-0.34021548821548819</v>
      </c>
      <c r="I73" s="23">
        <f t="shared" ref="I73:I81" si="23">E73/G73</f>
        <v>-0.20428282828282829</v>
      </c>
      <c r="J73" s="25" cm="1">
        <f t="array" ref="J73">_xldudf_WISE(A73, "Free Cash Flow", $AI$4)/F73</f>
        <v>-8.8397133921855831E-2</v>
      </c>
      <c r="K73" s="23" cm="1">
        <f t="array" ref="K73">_xldudf_WISE(A73, "Revenue Growth", $AI$4)</f>
        <v>-0.20030000000000001</v>
      </c>
      <c r="L73" s="23" cm="1">
        <f t="array" ref="L73">_xldudf_WISE(A73, "EPS Growth", $AI$4)</f>
        <v>-20.957699999999999</v>
      </c>
      <c r="M73" s="23" cm="1">
        <f t="array" ref="M73">(_xldudf_WISE(A73,"Estimated EPS AVG",2027)-_xldudf_WISE(A73,"Estimated EPS AVG",2026))/_xldudf_WISE(A73,"Estimated EPS AVG",2026)</f>
        <v>0.49899547164997754</v>
      </c>
      <c r="N73" s="26" t="str" cm="1">
        <f t="array" ref="N73">IF(_xldudf_WISE(A73,"EPS","LQ-0")&gt;_xldudf_WISE(A73,"EPS","LQ-1"),"Y","N")</f>
        <v>N</v>
      </c>
      <c r="O73" s="25" cm="1">
        <f t="array" ref="O73">_xldudf_WISE(A73, "PE Ratio", $AI$4)</f>
        <v>-30.788452555300001</v>
      </c>
      <c r="P73" s="25">
        <f t="shared" ref="P73:P81" si="24">IF(OR(M73="",M73=0),"",O73/(M73*100))</f>
        <v>-0.61700865648128944</v>
      </c>
      <c r="Q73" s="25" cm="1">
        <f t="array" ref="Q73">_xldudf_WISE(A73, "Enterprise Value Over EBITDA", $AI$4)</f>
        <v>-158.3895788925</v>
      </c>
      <c r="R73" s="25" cm="1">
        <f t="array" ref="R73">_xldudf_WISE(A73, "Net Debt To EBITDA", $AI$4)</f>
        <v>-11.0261948747</v>
      </c>
      <c r="S73" s="25" cm="1">
        <f t="array" ref="S73">_xldudf_WISE(A73, "Current Ratio", $AI$4)</f>
        <v>9.2011692307999997</v>
      </c>
      <c r="T73" s="18" t="str" cm="1">
        <f t="array" ref="T73">_xldudf_WISEPRICE(A73,"Earnings Announcement")</f>
        <v>2026-07-29</v>
      </c>
      <c r="U73" s="19">
        <f t="shared" ref="U73:U81" ca="1" si="25">IFERROR(T73-TODAY(),"")</f>
        <v>85</v>
      </c>
      <c r="V73" s="20">
        <v>40</v>
      </c>
      <c r="W73" s="21">
        <v>9000</v>
      </c>
      <c r="X73" s="22">
        <v>65.400000000000006</v>
      </c>
      <c r="Y73" s="15">
        <f t="shared" si="14"/>
        <v>1</v>
      </c>
      <c r="Z73" s="15">
        <f t="shared" si="15"/>
        <v>2.2999999999999998</v>
      </c>
      <c r="AA73" s="15">
        <f t="shared" si="16"/>
        <v>5</v>
      </c>
      <c r="AB73" s="15">
        <f t="shared" si="17"/>
        <v>5</v>
      </c>
      <c r="AC73" s="15">
        <f t="shared" ca="1" si="18"/>
        <v>5</v>
      </c>
      <c r="AD73" s="15">
        <f t="shared" si="19"/>
        <v>3.3</v>
      </c>
      <c r="AE73" s="16">
        <f ca="1">IFERROR(ROUND(Y73*Weights!$B$6+Z73*Weights!$B$7+AA73*Weights!$B$8+AB73*Weights!$B$9+AC73*Weights!$B$10+AD73*Weights!$B$11,2),"")</f>
        <v>3.33</v>
      </c>
      <c r="AF73" s="14" t="str">
        <f t="shared" ca="1" si="21"/>
        <v>Hold/Watch</v>
      </c>
      <c r="AG73" s="17" t="str">
        <f t="shared" ca="1" si="20"/>
        <v>Quarter size or wait</v>
      </c>
    </row>
    <row r="74" spans="1:33" x14ac:dyDescent="0.25">
      <c r="A74" s="30" t="s">
        <v>149</v>
      </c>
      <c r="B74" s="31" t="str" cm="1">
        <f t="array" ref="B74">_xldudf_WISEPRICE(A74, "Name")</f>
        <v>Commvault Systems, Inc.</v>
      </c>
      <c r="C74" s="23" cm="1">
        <f t="array" ref="C74">_xldudf_WISE(A74, "ROE", $AI$4)</f>
        <v>1.9547638110000001</v>
      </c>
      <c r="D74" s="23" cm="1">
        <f t="array" ref="D74">_xldudf_WISE(A74, "ROIC", $AI$4)</f>
        <v>1.8081036000000002E-2</v>
      </c>
      <c r="E74" s="24" cm="1">
        <f t="array" ref="E74">_xldudf_WISE(A74, "Operating Income", $AI$4)</f>
        <v>35241000</v>
      </c>
      <c r="F74" s="24" cm="1">
        <f t="array" ref="F74">_xldudf_WISE(A74, "Net Income",$AI$4)</f>
        <v>14649000</v>
      </c>
      <c r="G74" s="24" cm="1">
        <f t="array" ref="G74">_xldudf_WISE(A74, "Revenue", $AI$4)</f>
        <v>311692000</v>
      </c>
      <c r="H74" s="23">
        <f t="shared" si="22"/>
        <v>4.6998318853226903E-2</v>
      </c>
      <c r="I74" s="23">
        <f t="shared" si="23"/>
        <v>0.11306353708147787</v>
      </c>
      <c r="J74" s="25" cm="1">
        <f t="array" ref="J74">_xldudf_WISE(A74, "Free Cash Flow", $AI$4)/F74</f>
        <v>9</v>
      </c>
      <c r="K74" s="23" cm="1">
        <f t="array" ref="K74">_xldudf_WISE(A74, "Revenue Growth", $AI$4)</f>
        <v>-6.7999999999999996E-3</v>
      </c>
      <c r="L74" s="23" cm="1">
        <f t="array" ref="L74">_xldudf_WISE(A74, "EPS Growth", $AI$4)</f>
        <v>-0.15</v>
      </c>
      <c r="M74" s="23" cm="1">
        <f t="array" ref="M74">(_xldudf_WISE(A74,"Estimated EPS AVG",2027)-_xldudf_WISE(A74,"Estimated EPS AVG",2026))/_xldudf_WISE(A74,"Estimated EPS AVG",2026)</f>
        <v>0.25308497363249965</v>
      </c>
      <c r="N74" s="26" t="str" cm="1">
        <f t="array" ref="N74">IF(_xldudf_WISE(A74,"EPS","LQ-0")&gt;_xldudf_WISE(A74,"EPS","LQ-1"),"Y","N")</f>
        <v>N</v>
      </c>
      <c r="O74" s="25" cm="1">
        <f t="array" ref="O74">_xldudf_WISE(A74, "PE Ratio", $AI$4)</f>
        <v>57.221155539599998</v>
      </c>
      <c r="P74" s="25">
        <f t="shared" si="24"/>
        <v>2.2609463816958906</v>
      </c>
      <c r="Q74" s="25" cm="1">
        <f t="array" ref="Q74">_xldudf_WISE(A74, "Enterprise Value Over EBITDA", $AI$4)</f>
        <v>89.155772669599997</v>
      </c>
      <c r="R74" s="25" cm="1">
        <f t="array" ref="R74">_xldudf_WISE(A74, "Net Debt To EBITDA", $AI$4)</f>
        <v>0.46328430850000002</v>
      </c>
      <c r="S74" s="25" cm="1">
        <f t="array" ref="S74">_xldudf_WISE(A74, "Current Ratio", $AI$4)</f>
        <v>1.9546773630000001</v>
      </c>
      <c r="T74" s="18" t="str" cm="1">
        <f t="array" ref="T74">_xldudf_WISEPRICE(A74,"Earnings Announcement")</f>
        <v>2026-07-28</v>
      </c>
      <c r="U74" s="19">
        <f t="shared" ca="1" si="25"/>
        <v>84</v>
      </c>
      <c r="V74" s="20">
        <v>40</v>
      </c>
      <c r="W74" s="21">
        <v>9000</v>
      </c>
      <c r="X74" s="22">
        <v>66.400000000000006</v>
      </c>
      <c r="Y74" s="15">
        <f t="shared" si="14"/>
        <v>3.2</v>
      </c>
      <c r="Z74" s="15">
        <f t="shared" si="15"/>
        <v>2.2999999999999998</v>
      </c>
      <c r="AA74" s="15">
        <f t="shared" si="16"/>
        <v>1.3</v>
      </c>
      <c r="AB74" s="15">
        <f t="shared" si="17"/>
        <v>4.5</v>
      </c>
      <c r="AC74" s="15">
        <f t="shared" ca="1" si="18"/>
        <v>5</v>
      </c>
      <c r="AD74" s="15">
        <f t="shared" si="19"/>
        <v>3.3</v>
      </c>
      <c r="AE74" s="16">
        <f ca="1">IFERROR(ROUND(Y74*Weights!$B$6+Z74*Weights!$B$7+AA74*Weights!$B$8+AB74*Weights!$B$9+AC74*Weights!$B$10+AD74*Weights!$B$11,2),"")</f>
        <v>3.04</v>
      </c>
      <c r="AF74" s="14" t="str">
        <f t="shared" ca="1" si="21"/>
        <v>Hold/Watch</v>
      </c>
      <c r="AG74" s="17" t="str">
        <f t="shared" ca="1" si="20"/>
        <v>Quarter size or wait</v>
      </c>
    </row>
    <row r="75" spans="1:33" x14ac:dyDescent="0.25">
      <c r="A75" s="30" t="s">
        <v>145</v>
      </c>
      <c r="B75" s="31" t="str" cm="1">
        <f t="array" ref="B75">_xldudf_WISEPRICE(A75, "Name")</f>
        <v>Life360, Inc.</v>
      </c>
      <c r="C75" s="23" cm="1">
        <f t="array" ref="C75">_xldudf_WISE(A75, "ROE", $AI$4)</f>
        <v>0.23651816370000001</v>
      </c>
      <c r="D75" s="23" cm="1">
        <f t="array" ref="D75">_xldudf_WISE(A75, "ROIC", $AI$4)</f>
        <v>1.0376661000000001E-2</v>
      </c>
      <c r="E75" s="24" cm="1">
        <f t="array" ref="E75">_xldudf_WISE(A75, "Operating Income", $AI$4)</f>
        <v>8954000</v>
      </c>
      <c r="F75" s="24" cm="1">
        <f t="array" ref="F75">_xldudf_WISE(A75, "Net Income",$AI$4)</f>
        <v>129655000</v>
      </c>
      <c r="G75" s="24" cm="1">
        <f t="array" ref="G75">_xldudf_WISE(A75, "Revenue", $AI$4)</f>
        <v>145979000</v>
      </c>
      <c r="H75" s="23">
        <f t="shared" si="22"/>
        <v>0.88817569650429173</v>
      </c>
      <c r="I75" s="23">
        <f t="shared" si="23"/>
        <v>6.1337589653306296E-2</v>
      </c>
      <c r="J75" s="25" cm="1">
        <f t="array" ref="J75">_xldudf_WISE(A75, "Free Cash Flow", $AI$4)/F75</f>
        <v>0.27129690332035017</v>
      </c>
      <c r="K75" s="23" cm="1">
        <f t="array" ref="K75">_xldudf_WISE(A75, "Revenue Growth", $AI$4)</f>
        <v>0.1726</v>
      </c>
      <c r="L75" s="23" cm="1">
        <f t="array" ref="L75">_xldudf_WISE(A75, "EPS Growth", $AI$4)</f>
        <v>11.8462</v>
      </c>
      <c r="M75" s="23" cm="1">
        <f t="array" ref="M75">(_xldudf_WISE(A75,"Estimated EPS AVG",2027)-_xldudf_WISE(A75,"Estimated EPS AVG",2026))/_xldudf_WISE(A75,"Estimated EPS AVG",2026)</f>
        <v>0.5640421026504191</v>
      </c>
      <c r="N75" s="26" t="str" cm="1">
        <f t="array" ref="N75">IF(_xldudf_WISE(A75,"EPS","LQ-0")&gt;_xldudf_WISE(A75,"EPS","LQ-1"),"Y","N")</f>
        <v>Y</v>
      </c>
      <c r="O75" s="25" cm="1">
        <f t="array" ref="O75">_xldudf_WISE(A75, "PE Ratio", $AI$4)</f>
        <v>9.5539980515000007</v>
      </c>
      <c r="P75" s="25">
        <f t="shared" si="24"/>
        <v>0.16938448400582179</v>
      </c>
      <c r="Q75" s="25" cm="1">
        <f t="array" ref="Q75">_xldudf_WISE(A75, "Enterprise Value Over EBITDA", $AI$4)</f>
        <v>313.47039878189997</v>
      </c>
      <c r="R75" s="25" cm="1">
        <f t="array" ref="R75">_xldudf_WISE(A75, "Net Debt To EBITDA", $AI$4)</f>
        <v>-12.081143232600001</v>
      </c>
      <c r="S75" s="25" cm="1">
        <f t="array" ref="S75">_xldudf_WISE(A75, "Current Ratio", $AI$4)</f>
        <v>6.2620518649000001</v>
      </c>
      <c r="T75" s="18" t="str" cm="1">
        <f t="array" ref="T75">_xldudf_WISEPRICE(A75,"Earnings Announcement")</f>
        <v>2026-05-11</v>
      </c>
      <c r="U75" s="19">
        <f t="shared" ca="1" si="25"/>
        <v>6</v>
      </c>
      <c r="V75" s="20">
        <v>40</v>
      </c>
      <c r="W75" s="21">
        <v>9000</v>
      </c>
      <c r="X75" s="22">
        <v>67.400000000000006</v>
      </c>
      <c r="Y75" s="15">
        <f t="shared" si="14"/>
        <v>2.8</v>
      </c>
      <c r="Z75" s="15">
        <f t="shared" si="15"/>
        <v>4.8</v>
      </c>
      <c r="AA75" s="15">
        <f t="shared" si="16"/>
        <v>3.7</v>
      </c>
      <c r="AB75" s="15">
        <f t="shared" si="17"/>
        <v>5</v>
      </c>
      <c r="AC75" s="15">
        <f t="shared" ca="1" si="18"/>
        <v>5</v>
      </c>
      <c r="AD75" s="15">
        <f t="shared" si="19"/>
        <v>3.3</v>
      </c>
      <c r="AE75" s="16">
        <f ca="1">IFERROR(ROUND(Y75*Weights!$B$6+Z75*Weights!$B$7+AA75*Weights!$B$8+AB75*Weights!$B$9+AC75*Weights!$B$10+AD75*Weights!$B$11,2),"")</f>
        <v>4.1399999999999997</v>
      </c>
      <c r="AF75" s="14" t="str">
        <f t="shared" ca="1" si="21"/>
        <v>Strong Buy</v>
      </c>
      <c r="AG75" s="17" t="str">
        <f t="shared" ca="1" si="20"/>
        <v>Full size — stock or ITM call</v>
      </c>
    </row>
    <row r="76" spans="1:33" x14ac:dyDescent="0.25">
      <c r="A76" s="30"/>
      <c r="B76" s="31"/>
      <c r="C76" s="23"/>
      <c r="D76" s="23"/>
      <c r="E76" s="24"/>
      <c r="F76" s="24"/>
      <c r="G76" s="24"/>
      <c r="H76" s="23"/>
      <c r="I76" s="23"/>
      <c r="J76" s="25"/>
      <c r="K76" s="23"/>
      <c r="L76" s="23"/>
      <c r="M76" s="23"/>
      <c r="N76" s="26"/>
      <c r="O76" s="25"/>
      <c r="P76" s="25"/>
      <c r="Q76" s="25"/>
      <c r="R76" s="25"/>
      <c r="S76" s="25"/>
      <c r="T76" s="18"/>
      <c r="U76" s="19"/>
      <c r="V76" s="20"/>
      <c r="W76" s="21"/>
      <c r="X76" s="22"/>
      <c r="Y76" s="15"/>
      <c r="Z76" s="15"/>
      <c r="AA76" s="15"/>
      <c r="AB76" s="15"/>
      <c r="AC76" s="15"/>
      <c r="AD76" s="15"/>
      <c r="AE76" s="16"/>
      <c r="AF76" s="14"/>
      <c r="AG76" s="17"/>
    </row>
    <row r="77" spans="1:33" x14ac:dyDescent="0.25">
      <c r="A77" s="30"/>
      <c r="B77" s="31"/>
      <c r="C77" s="23"/>
      <c r="D77" s="23"/>
      <c r="E77" s="24"/>
      <c r="F77" s="24"/>
      <c r="G77" s="24"/>
      <c r="H77" s="23"/>
      <c r="I77" s="23"/>
      <c r="J77" s="25"/>
      <c r="K77" s="23"/>
      <c r="L77" s="23"/>
      <c r="M77" s="23"/>
      <c r="N77" s="26"/>
      <c r="O77" s="25"/>
      <c r="P77" s="25"/>
      <c r="Q77" s="25"/>
      <c r="R77" s="25"/>
      <c r="S77" s="25"/>
      <c r="T77" s="18"/>
      <c r="U77" s="19"/>
      <c r="V77" s="20"/>
      <c r="W77" s="21"/>
      <c r="X77" s="22"/>
      <c r="Y77" s="15"/>
      <c r="Z77" s="15"/>
      <c r="AA77" s="15"/>
      <c r="AB77" s="15"/>
      <c r="AC77" s="15"/>
      <c r="AD77" s="15"/>
      <c r="AE77" s="16"/>
      <c r="AF77" s="14"/>
      <c r="AG77" s="17"/>
    </row>
    <row r="78" spans="1:33" x14ac:dyDescent="0.25">
      <c r="A78" s="30"/>
      <c r="B78" s="31"/>
      <c r="C78" s="23"/>
      <c r="D78" s="23"/>
      <c r="E78" s="24"/>
      <c r="F78" s="24"/>
      <c r="G78" s="24"/>
      <c r="H78" s="23"/>
      <c r="I78" s="23"/>
      <c r="J78" s="25"/>
      <c r="K78" s="23"/>
      <c r="L78" s="23"/>
      <c r="M78" s="23"/>
      <c r="N78" s="26"/>
      <c r="O78" s="25"/>
      <c r="P78" s="25"/>
      <c r="Q78" s="25"/>
      <c r="R78" s="25"/>
      <c r="S78" s="25"/>
      <c r="T78" s="18"/>
      <c r="U78" s="19"/>
      <c r="V78" s="20"/>
      <c r="W78" s="21"/>
      <c r="X78" s="22"/>
      <c r="Y78" s="15"/>
      <c r="Z78" s="15"/>
      <c r="AA78" s="15"/>
      <c r="AB78" s="15"/>
      <c r="AC78" s="15"/>
      <c r="AD78" s="15"/>
      <c r="AE78" s="16"/>
      <c r="AF78" s="14"/>
      <c r="AG78" s="17"/>
    </row>
    <row r="79" spans="1:33" x14ac:dyDescent="0.25">
      <c r="A79" s="30"/>
      <c r="B79" s="31"/>
      <c r="C79" s="23"/>
      <c r="D79" s="23"/>
      <c r="E79" s="24"/>
      <c r="F79" s="24"/>
      <c r="G79" s="24"/>
      <c r="H79" s="23"/>
      <c r="I79" s="23"/>
      <c r="J79" s="25"/>
      <c r="K79" s="23"/>
      <c r="L79" s="23"/>
      <c r="M79" s="23"/>
      <c r="N79" s="26"/>
      <c r="O79" s="25"/>
      <c r="P79" s="25"/>
      <c r="Q79" s="25"/>
      <c r="R79" s="25"/>
      <c r="S79" s="25"/>
      <c r="T79" s="18"/>
      <c r="U79" s="19"/>
      <c r="V79" s="20"/>
      <c r="W79" s="21"/>
      <c r="X79" s="22"/>
      <c r="Y79" s="15"/>
      <c r="Z79" s="15"/>
      <c r="AA79" s="15"/>
      <c r="AB79" s="15"/>
      <c r="AC79" s="15"/>
      <c r="AD79" s="15"/>
      <c r="AE79" s="16"/>
      <c r="AF79" s="14"/>
      <c r="AG79" s="17"/>
    </row>
    <row r="80" spans="1:33" x14ac:dyDescent="0.25">
      <c r="A80" s="30"/>
      <c r="B80" s="31"/>
      <c r="C80" s="23"/>
      <c r="D80" s="23"/>
      <c r="E80" s="24"/>
      <c r="F80" s="24"/>
      <c r="G80" s="24"/>
      <c r="H80" s="23"/>
      <c r="I80" s="23"/>
      <c r="J80" s="25"/>
      <c r="K80" s="23"/>
      <c r="L80" s="23"/>
      <c r="M80" s="23"/>
      <c r="N80" s="26"/>
      <c r="O80" s="25"/>
      <c r="P80" s="25"/>
      <c r="Q80" s="25"/>
      <c r="R80" s="25"/>
      <c r="S80" s="25"/>
      <c r="T80" s="18"/>
      <c r="U80" s="19"/>
      <c r="V80" s="20"/>
      <c r="W80" s="21"/>
      <c r="X80" s="22"/>
      <c r="Y80" s="15"/>
      <c r="Z80" s="15"/>
      <c r="AA80" s="15"/>
      <c r="AB80" s="15"/>
      <c r="AC80" s="15"/>
      <c r="AD80" s="15"/>
      <c r="AE80" s="16"/>
      <c r="AF80" s="14"/>
      <c r="AG80" s="17"/>
    </row>
    <row r="81" spans="1:33" x14ac:dyDescent="0.25">
      <c r="A81" s="30"/>
      <c r="B81" s="31"/>
      <c r="C81" s="23"/>
      <c r="D81" s="23"/>
      <c r="E81" s="24"/>
      <c r="F81" s="24"/>
      <c r="G81" s="24"/>
      <c r="H81" s="23"/>
      <c r="I81" s="23"/>
      <c r="J81" s="25"/>
      <c r="K81" s="23"/>
      <c r="L81" s="23"/>
      <c r="M81" s="23"/>
      <c r="N81" s="26"/>
      <c r="O81" s="25"/>
      <c r="P81" s="25"/>
      <c r="Q81" s="25"/>
      <c r="R81" s="25"/>
      <c r="S81" s="25"/>
      <c r="T81" s="18"/>
      <c r="U81" s="19"/>
      <c r="V81" s="20"/>
      <c r="W81" s="21"/>
      <c r="X81" s="22"/>
      <c r="Y81" s="15"/>
      <c r="Z81" s="15"/>
      <c r="AA81" s="15"/>
      <c r="AB81" s="15"/>
      <c r="AC81" s="15"/>
      <c r="AD81" s="15"/>
      <c r="AE81" s="16"/>
      <c r="AF81" s="14"/>
      <c r="AG81" s="17"/>
    </row>
  </sheetData>
  <mergeCells count="10">
    <mergeCell ref="AE2:AG2"/>
    <mergeCell ref="A1:AC1"/>
    <mergeCell ref="A2:B2"/>
    <mergeCell ref="C2:J2"/>
    <mergeCell ref="K2:N2"/>
    <mergeCell ref="O2:Q2"/>
    <mergeCell ref="R2:S2"/>
    <mergeCell ref="T2:U2"/>
    <mergeCell ref="V2:X2"/>
    <mergeCell ref="Y2:AD2"/>
  </mergeCells>
  <conditionalFormatting sqref="Y4:Y81">
    <cfRule type="colorScale" priority="8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Z4:Z81">
    <cfRule type="colorScale" priority="9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AA4:AA81">
    <cfRule type="colorScale" priority="10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AB4:AB81">
    <cfRule type="colorScale" priority="11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AC4:AC81">
    <cfRule type="colorScale" priority="12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AD4:AD81">
    <cfRule type="colorScale" priority="13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AE4:AE81">
    <cfRule type="colorScale" priority="7">
      <colorScale>
        <cfvo type="num" val="2"/>
        <cfvo type="num" val="3.25"/>
        <cfvo type="num" val="4.5"/>
        <color rgb="FFF8696B"/>
        <color rgb="FFFFEB84"/>
        <color rgb="FF63BE7B"/>
      </colorScale>
    </cfRule>
  </conditionalFormatting>
  <conditionalFormatting sqref="AF1:AF1048576">
    <cfRule type="cellIs" dxfId="3" priority="5" operator="equal">
      <formula>"BUY"</formula>
    </cfRule>
    <cfRule type="cellIs" dxfId="2" priority="4" operator="equal">
      <formula>"Strong Buy"</formula>
    </cfRule>
  </conditionalFormatting>
  <conditionalFormatting sqref="A4:X100">
    <cfRule type="expression" dxfId="1" priority="2">
      <formula>$AF4="Strong Buy"</formula>
    </cfRule>
    <cfRule type="expression" dxfId="0" priority="14">
      <formula>$AF4="Buy"</formula>
    </cfRule>
  </conditionalFormatting>
  <pageMargins left="0.75" right="0.75" top="1" bottom="1" header="0.511811023622047" footer="0.511811023622047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"/>
  <sheetViews>
    <sheetView zoomScaleNormal="100" workbookViewId="0">
      <selection sqref="A1:B1"/>
    </sheetView>
  </sheetViews>
  <sheetFormatPr defaultColWidth="8.7109375" defaultRowHeight="15" x14ac:dyDescent="0.25"/>
  <cols>
    <col min="1" max="1" width="14" customWidth="1"/>
    <col min="2" max="2" width="95" customWidth="1"/>
  </cols>
  <sheetData>
    <row r="1" spans="1:2" ht="18" x14ac:dyDescent="0.25">
      <c r="A1" s="44" t="s">
        <v>73</v>
      </c>
      <c r="B1" s="44"/>
    </row>
    <row r="3" spans="1:2" ht="31.5" customHeight="1" x14ac:dyDescent="0.25">
      <c r="A3" s="11" t="s">
        <v>74</v>
      </c>
      <c r="B3" s="12" t="s">
        <v>75</v>
      </c>
    </row>
    <row r="4" spans="1:2" ht="31.5" customHeight="1" x14ac:dyDescent="0.25">
      <c r="A4" s="11" t="s">
        <v>76</v>
      </c>
      <c r="B4" s="12" t="s">
        <v>77</v>
      </c>
    </row>
    <row r="5" spans="1:2" ht="31.5" customHeight="1" x14ac:dyDescent="0.25">
      <c r="A5" s="11" t="s">
        <v>78</v>
      </c>
      <c r="B5" s="12" t="s">
        <v>79</v>
      </c>
    </row>
    <row r="6" spans="1:2" ht="31.5" customHeight="1" x14ac:dyDescent="0.25">
      <c r="A6" s="11" t="s">
        <v>80</v>
      </c>
      <c r="B6" s="12" t="s">
        <v>81</v>
      </c>
    </row>
    <row r="7" spans="1:2" ht="31.5" customHeight="1" x14ac:dyDescent="0.25">
      <c r="A7" s="11" t="s">
        <v>82</v>
      </c>
      <c r="B7" s="12" t="s">
        <v>83</v>
      </c>
    </row>
    <row r="8" spans="1:2" ht="31.5" customHeight="1" x14ac:dyDescent="0.25">
      <c r="A8" s="11" t="s">
        <v>84</v>
      </c>
      <c r="B8" s="12" t="s">
        <v>85</v>
      </c>
    </row>
    <row r="9" spans="1:2" ht="31.5" customHeight="1" x14ac:dyDescent="0.25">
      <c r="A9" s="11"/>
      <c r="B9" s="12"/>
    </row>
    <row r="10" spans="1:2" ht="31.5" customHeight="1" x14ac:dyDescent="0.25">
      <c r="A10" s="11" t="s">
        <v>86</v>
      </c>
      <c r="B10" s="12" t="s">
        <v>87</v>
      </c>
    </row>
    <row r="11" spans="1:2" ht="31.5" customHeight="1" x14ac:dyDescent="0.25">
      <c r="A11" s="11" t="s">
        <v>88</v>
      </c>
      <c r="B11" s="12" t="s">
        <v>89</v>
      </c>
    </row>
    <row r="12" spans="1:2" ht="31.5" customHeight="1" x14ac:dyDescent="0.25">
      <c r="A12" s="11" t="s">
        <v>4</v>
      </c>
      <c r="B12" s="12" t="s">
        <v>90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Weights</vt:lpstr>
      <vt:lpstr>Screener</vt:lpstr>
      <vt:lpstr>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Bruno Romano</cp:lastModifiedBy>
  <cp:revision>0</cp:revision>
  <dcterms:created xsi:type="dcterms:W3CDTF">2026-05-04T12:52:25Z</dcterms:created>
  <dcterms:modified xsi:type="dcterms:W3CDTF">2026-05-05T12:03:04Z</dcterms:modified>
  <dc:language>en-US</dc:language>
</cp:coreProperties>
</file>