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ut Trades" sheetId="1" r:id="rId1"/>
    <sheet name="Stock Positions" sheetId="2" r:id="rId2"/>
    <sheet name="Summary" sheetId="3" r:id="rId3"/>
  </sheets>
</workbook>
</file>

<file path=xl/sharedStrings.xml><?xml version="1.0" encoding="UTF-8" standalone="yes"?>
<sst xmlns="http://schemas.openxmlformats.org/spreadsheetml/2006/main" count="58" uniqueCount="58">
    <si><t>Trade ID</t></si>
    <si><t>Open Date</t></si>
    <si><t>Ticker</t></si>
    <si><t>Strike Price</t></si>
    <si><t>Expiration Date</t></si>
    <si><t>Contracts</t></si>
    <si><t>Premium/Contract</t></si>
    <si><t>Total Premium</t></si>
    <si><t>Commission</t></si>
    <si><t>Net Credit</t></si>
    <si><t>Status</t></si>
    <si><t>Close Date</t></si>
    <si><t>Close Price</t></si>
    <si><t>Close Commission</t></si>
    <si><t>Net P&L</t></si>
    <si><t>Assignment Date</t></si>
    <si><t>Notes</t></si>
    <si><t>Position ID</t></si>
    <si><t>Source Trade ID</t></si>
    <si><t>Ticker</t></si>
    <si><t>Acquisition Date</t></si>
    <si><t>Shares</t></si>
    <si><t>Cost Basis/Share</t></si>
    <si><t>Total Cost Basis</t></si>
    <si><t>Sale Date</t></si>
    <si><t>Sale Price/Share</t></si>
    <si><t>Gross Proceeds</t></si>
    <si><t>Sale Commission</t></si>
    <si><t>Net Proceeds</t></si>
    <si><t>Stock P&L</t></si>
    <si><t>PUT SELLING TRACKER - SUMMARY</t></si>
    <si><t>Overall Statistics</t></si>
    <si><t>Total Trades</t></si>
    <si><t>Open Trades</t></si>
    <si><t>Closed Trades</t></si>
    <si><t>Expired (Profit)</t></si>
    <si><t>Assigned</t></si>
    <si><t>Win Rate</t></si>
    <si><t>Premium Statistics</t></si>
    <si><t>Total Premium Collected</t></si>
    <si><t>Total Commissions Paid</t></si>
    <si><t>Net Premium (Closed Trades)</t></si>
    <si><t>Realized P&L from Puts</t></si>
    <si><t>Stock Position Statistics</t></si>
    <si><t>Total Positions</t></si>
    <si><t>Open Positions</t></si>
    <si><t>Closed Positions</t></si>
    <si><t>Realized Stock P&L</t></si>
    <si><t>Combined Statistics</t></si>
    <si><t>Total Realized P&L</t></si>
    <si><t>Unrealized Stock Value</t></si>
    <si><t>Open</t></si>
    <si><t>Closed</t></si>
    <si><t>Expired</t></si>
    <si><t>Assigned</t></si>
    <si><t>Example: Sold put on AAPL</t></si>
    <si><t>Example: Assigned and sold</t></si>
    <si><t>Example: Expired worthless</t></si>
</sst>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"/>
    <numFmt numFmtId="166" formatCode="0.00%"/>
    <numFmt numFmtId="167" formatCode="#,##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1" fillId="3" borderId="1" xfId="0" applyFont="1" applyFill="1" applyBorder="1"/>
    <xf numFmtId="164" fontId="1" fillId="3" borderId="1" xfId="0" applyNumberFormat="1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  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2" customWidth="1"/>
    <col min="5" max="5" width="14" customWidth="1"/>
    <col min="6" max="6" width="10" customWidth="1"/>
    <col min="7" max="7" width="16" customWidth="1"/>
    <col min="8" max="8" width="14" customWidth="1"/>
    <col min="9" max="9" width="12" customWidth="1"/>
    <col min="10" max="10" width="12" customWidth="1"/>
    <col min="11" max="11" width="10" customWidth="1"/>
    <col min="12" max="12" width="12" customWidth="1"/>
    <col min="13" max="13" width="12" customWidth="1"/>
    <col min="14" max="14" width="14" customWidth="1"/>
    <col min="15" max="15" width="12" customWidth="1"/>
    <col min="16" max="16" width="14" customWidth="1"/>
    <col min="17" max="17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>
        <v>1</v>
      </c>
      <c r="B2" s="3">
        <v>45658</v>
      </c>
      <c r="C2" s="4" t="s">
        <v>55</v>
      </c>
      <c r="D2" s="2">
        <v>150</v>
      </c>
      <c r="E2" s="3">
        <v>45688</v>
      </c>
      <c r="F2" s="6">
        <v>1</v>
      </c>
      <c r="G2" s="2">
        <v>2.50</v>
      </c>
      <c r="H2" s="2">
        <f>F2*G2*100</f>
      </c>
      <c r="I2" s="2">
        <v>1.00</v>
      </c>
      <c r="J2" s="2">
        <f>H2-I2</f>
      </c>
      <c r="K2" s="4" t="s">
        <v>53</v>
      </c>
      <c r="L2" s="3">
        <v>45688</v>
      </c>
      <c r="M2" s="2">
        <v>0</v>
      </c>
      <c r="N2" s="2">
        <v>0</v>
      </c>
      <c r="O2" s="2">
        <f>J2-(M2*F2*100)-N2</f>
      </c>
      <c r="P2" s="3"/>
      <c r="Q2" s="4" t="s">
        <v>57</v>
      </c>
    </row>
    <row r="3">
      <c r="A3" s="4">
        <v>2</v>
      </c>
      <c r="B3" s="3">
        <v>45660</v>
      </c>
      <c r="C3" s="4" t="s">
        <v>56</v>
      </c>
      <c r="D3" s="2">
        <v>100</v>
      </c>
      <c r="E3" s="3">
        <v>45690</v>
      </c>
      <c r="F3" s="6">
        <v>2</v>
      </c>
      <c r="G3" s="2">
        <v>3.00</v>
      </c>
      <c r="H3" s="2">
        <f>F3*G3*100</f>
      </c>
      <c r="I3" s="2">
        <v>2.00</v>
      </c>
      <c r="J3" s="2">
        <f>H3-I3</f>
      </c>
      <c r="K3" s="4" t="s">
        <v>54</v>
      </c>
      <c r="L3" s="3">
        <v>45685</v>
      </c>
      <c r="M3" s="2">
        <v>0</v>
      </c>
      <c r="N3" s="2">
        <v>0</v>
      </c>
      <c r="O3" s="2">
        <f>J3-(M3*F3*100)-N3</f>
      </c>
      <c r="P3" s="3">
        <v>45685</v>
      </c>
      <c r="Q3" s="4" t="s">
        <v>56</v>
      </c>
    </row>
  </sheetData>
  <dataValidations count="1">
    <dataValidation type="list" allowBlank="1" showInputMessage="1" showErrorMessage="1" sqref="K2:K1000">
      <formula1>"Open,Closed,Expired,Assigned"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0" customWidth="1"/>
    <col min="4" max="4" width="14" customWidth="1"/>
    <col min="5" max="5" width="10" customWidth="1"/>
    <col min="6" max="6" width="14" customWidth="1"/>
    <col min="7" max="7" width="14" customWidth="1"/>
    <col min="8" max="8" width="12" customWidth="1"/>
    <col min="9" max="9" width="14" customWidth="1"/>
    <col min="10" max="10" width="14" customWidth="1"/>
    <col min="11" max="11" width="14" customWidth="1"/>
    <col min="12" max="12" width="12" customWidth="1"/>
    <col min="13" max="13" width="12" customWidth="1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>
      <c r="A2" s="4">
        <v>1</v>
      </c>
      <c r="B2" s="4">
        <v>2</v>
      </c>
      <c r="C2" s="4" t="s">
        <v>56</v>
      </c>
      <c r="D2" s="3">
        <v>45685</v>
      </c>
      <c r="E2" s="6">
        <v>200</v>
      </c>
      <c r="F2" s="2">
        <v>100</v>
      </c>
      <c r="G2" s="2">
        <f>E2*F2</f>
      </c>
      <c r="H2" s="3">
        <v>45700</v>
      </c>
      <c r="I2" s="2">
        <v>110</v>
      </c>
      <c r="J2" s="2">
        <f>E2*I2</f>
      </c>
      <c r="K2" s="2">
        <v>10</v>
      </c>
      <c r="L2" s="2">
        <f>J2-K2</f>
      </c>
      <c r="M2" s="2">
        <f>L2-G2</f>
      </c>
    </row>
  </sheetData>
</worksheet>
</file>

<file path=xl/worksheets/sheet3.xml><?xml version="1.0" encoding="utf-8"?>
<worksheet xmlns="http://schemas.openxmlformats.org/spreadsheetml/2006/main">
  <cols>
    <col min="1" max="1" width="30" customWidth="1"/>
    <col min="2" max="2" width="18" customWidth="1"/>
  </cols>
  <sheetData>
    <row r="1">
      <c r="A1" s="7" t="s">
        <v>30</v>
      </c>
    </row>
    <row r="3">
      <c r="A3" s="8" t="s">
        <v>31</v>
      </c>
      <c r="B3" s="8"/>
    </row>
    <row r="4">
      <c r="A4" s="4" t="s">
        <v>32</v>
      </c>
      <c r="B4" s="6">
        <f>COUNTA('Put Trades'!A2:A1000)</f>
      </c>
    </row>
    <row r="5">
      <c r="A5" s="4" t="s">
        <v>33</v>
      </c>
      <c r="B5" s="6">
        <f>COUNTIF('Put Trades'!K2:K1000,"Open")</f>
      </c>
    </row>
    <row r="6">
      <c r="A6" s="4" t="s">
        <v>34</v>
      </c>
      <c r="B6" s="6">
        <f>COUNTIF('Put Trades'!K2:K1000,"Closed")</f>
      </c>
    </row>
    <row r="7">
      <c r="A7" s="4" t="s">
        <v>35</v>
      </c>
      <c r="B7" s="6">
        <f>COUNTIF('Put Trades'!K2:K1000,"Expired")</f>
      </c>
    </row>
    <row r="8">
      <c r="A8" s="4" t="s">
        <v>36</v>
      </c>
      <c r="B8" s="6">
        <f>COUNTIF('Put Trades'!K2:K1000,"Assigned")</f>
      </c>
    </row>
    <row r="9">
      <c r="A9" s="4" t="s">
        <v>37</v>
      </c>
      <c r="B9" s="5">
        <f>IF(B4-B5&gt;0,(B6+B7)/(B4-B5),0)</f>
      </c>
    </row>
    <row r="11">
      <c r="A11" s="8" t="s">
        <v>38</v>
      </c>
      <c r="B11" s="8"/>
    </row>
    <row r="12">
      <c r="A12" s="4" t="s">
        <v>39</v>
      </c>
      <c r="B12" s="2">
        <f>SUM('Put Trades'!H2:H1000)</f>
      </c>
    </row>
    <row r="13">
      <c r="A13" s="4" t="s">
        <v>40</v>
      </c>
      <c r="B13" s="2">
        <f>SUM('Put Trades'!I2:I1000)+SUM('Put Trades'!N2:N1000)</f>
      </c>
    </row>
    <row r="14">
      <c r="A14" s="4" t="s">
        <v>41</v>
      </c>
      <c r="B14" s="2">
        <f>SUMIF('Put Trades'!K2:K1000,"&lt;&gt;Open",'Put Trades'!J2:J1000)</f>
      </c>
    </row>
    <row r="15">
      <c r="A15" s="4" t="s">
        <v>42</v>
      </c>
      <c r="B15" s="9">
        <f>SUMIF('Put Trades'!K2:K1000,"&lt;&gt;Open",'Put Trades'!O2:O1000)</f>
      </c>
    </row>
    <row r="17">
      <c r="A17" s="8" t="s">
        <v>43</v>
      </c>
      <c r="B17" s="8"/>
    </row>
    <row r="18">
      <c r="A18" s="4" t="s">
        <v>44</v>
      </c>
      <c r="B18" s="6">
        <f>COUNTA('Stock Positions'!A2:A1000)</f>
      </c>
    </row>
    <row r="19">
      <c r="A19" s="4" t="s">
        <v>45</v>
      </c>
      <c r="B19" s="6">
        <f>COUNTBLANK('Stock Positions'!H2:H1000)</f>
      </c>
    </row>
    <row r="20">
      <c r="A20" s="4" t="s">
        <v>46</v>
      </c>
      <c r="B20" s="6">
        <f>B18-B19</f>
      </c>
    </row>
    <row r="21">
      <c r="A21" s="4" t="s">
        <v>47</v>
      </c>
      <c r="B21" s="9">
        <f>SUM('Stock Positions'!M2:M1000)</f>
      </c>
    </row>
    <row r="23">
      <c r="A23" s="8" t="s">
        <v>48</v>
      </c>
      <c r="B23" s="8"/>
    </row>
    <row r="24">
      <c r="A24" s="4" t="s">
        <v>49</v>
      </c>
      <c r="B24" s="9">
        <f>B15+B21</f>
      </c>
    </row>
  </sheetData>
</worksheet>
</file>